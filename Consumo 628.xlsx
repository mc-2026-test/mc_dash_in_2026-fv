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Departamentos\Contabilidad\03 Suministros_consumos\"/>
    </mc:Choice>
  </mc:AlternateContent>
  <xr:revisionPtr revIDLastSave="0" documentId="13_ncr:1_{CFE3E7FC-2127-4B40-8556-2D3B615331F3}" xr6:coauthVersionLast="47" xr6:coauthVersionMax="47" xr10:uidLastSave="{00000000-0000-0000-0000-000000000000}"/>
  <bookViews>
    <workbookView xWindow="-120" yWindow="-120" windowWidth="29040" windowHeight="15720" tabRatio="754" activeTab="9" xr2:uid="{00000000-000D-0000-FFFF-FFFF00000000}"/>
  </bookViews>
  <sheets>
    <sheet name="Frio cierre 25" sheetId="14" r:id="rId1"/>
    <sheet name="Frio cierre 26" sheetId="15" r:id="rId2"/>
    <sheet name="628-2019" sheetId="2" r:id="rId3"/>
    <sheet name="628-2020" sheetId="5" r:id="rId4"/>
    <sheet name="628-2021" sheetId="6" r:id="rId5"/>
    <sheet name="628-2022" sheetId="7" r:id="rId6"/>
    <sheet name="628-2023" sheetId="9" r:id="rId7"/>
    <sheet name="628-2024" sheetId="12" r:id="rId8"/>
    <sheet name="628-2025" sheetId="13" r:id="rId9"/>
    <sheet name="628-2026" sheetId="16" r:id="rId10"/>
    <sheet name="Diario 2025" sheetId="17" r:id="rId11"/>
    <sheet name="Diario 2026" sheetId="18" r:id="rId12"/>
  </sheets>
  <definedNames>
    <definedName name="_xlnm.Print_Area" localSheetId="2">'628-2019'!$A$1:$S$45</definedName>
    <definedName name="_xlnm.Print_Area" localSheetId="3">'628-2020'!$A$1:$S$45</definedName>
    <definedName name="_xlnm.Print_Area" localSheetId="4">'628-2021'!$A$1:$S$45</definedName>
    <definedName name="_xlnm.Print_Area" localSheetId="5">'628-2022'!$A$1:$S$39</definedName>
    <definedName name="_xlnm.Print_Area" localSheetId="6">'628-2023'!$A$1:$S$39</definedName>
    <definedName name="_xlnm.Print_Area" localSheetId="7">'628-2024'!$A$1:$S$39</definedName>
    <definedName name="_xlnm.Print_Area" localSheetId="8">'628-2025'!$A$1:$S$39</definedName>
    <definedName name="_xlnm.Print_Area" localSheetId="9">'628-2026'!$A$1:$S$39</definedName>
    <definedName name="_xlnm.Print_Area" localSheetId="0">'Frio cierre 25'!$R$5:$V$26</definedName>
    <definedName name="_xlnm.Print_Area" localSheetId="1">'Frio cierre 26'!$R$5:$V$26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6" l="1"/>
  <c r="G30" i="16" l="1"/>
  <c r="E20" i="15" l="1"/>
  <c r="E19" i="15"/>
  <c r="E7" i="15"/>
  <c r="E6" i="15"/>
  <c r="E5" i="15"/>
  <c r="E366" i="18"/>
  <c r="E365" i="18"/>
  <c r="E364" i="18"/>
  <c r="E363" i="18"/>
  <c r="E362" i="18"/>
  <c r="E361" i="18"/>
  <c r="E360" i="18"/>
  <c r="E359" i="18"/>
  <c r="E358" i="18"/>
  <c r="E357" i="18"/>
  <c r="E356" i="18"/>
  <c r="E355" i="18"/>
  <c r="E354" i="18"/>
  <c r="E353" i="18"/>
  <c r="E352" i="18"/>
  <c r="O351" i="18"/>
  <c r="N351" i="18"/>
  <c r="E351" i="18"/>
  <c r="E350" i="18"/>
  <c r="E349" i="18"/>
  <c r="E348" i="18"/>
  <c r="O347" i="18"/>
  <c r="N347" i="18"/>
  <c r="E347" i="18"/>
  <c r="E346" i="18"/>
  <c r="E345" i="18"/>
  <c r="E344" i="18"/>
  <c r="E343" i="18"/>
  <c r="E342" i="18"/>
  <c r="E341" i="18"/>
  <c r="E340" i="18"/>
  <c r="E339" i="18"/>
  <c r="E338" i="18"/>
  <c r="O337" i="18"/>
  <c r="N337" i="18"/>
  <c r="E337" i="18"/>
  <c r="E336" i="18"/>
  <c r="E335" i="18"/>
  <c r="E334" i="18"/>
  <c r="E333" i="18"/>
  <c r="E332" i="18"/>
  <c r="E331" i="18"/>
  <c r="E330" i="18"/>
  <c r="E329" i="18"/>
  <c r="E328" i="18"/>
  <c r="E327" i="18"/>
  <c r="E326" i="18"/>
  <c r="E325" i="18"/>
  <c r="E324" i="18"/>
  <c r="E323" i="18"/>
  <c r="E322" i="18"/>
  <c r="E321" i="18"/>
  <c r="E320" i="18"/>
  <c r="E319" i="18"/>
  <c r="E318" i="18"/>
  <c r="E317" i="18"/>
  <c r="E316" i="18"/>
  <c r="E315" i="18"/>
  <c r="E314" i="18"/>
  <c r="E313" i="18"/>
  <c r="E312" i="18"/>
  <c r="E311" i="18"/>
  <c r="E310" i="18"/>
  <c r="E309" i="18"/>
  <c r="E308" i="18"/>
  <c r="E307" i="18"/>
  <c r="E306" i="18"/>
  <c r="E305" i="18"/>
  <c r="E304" i="18"/>
  <c r="E303" i="18"/>
  <c r="O302" i="18"/>
  <c r="N302" i="18"/>
  <c r="E302" i="18"/>
  <c r="E301" i="18"/>
  <c r="E300" i="18"/>
  <c r="E299" i="18"/>
  <c r="E298" i="18"/>
  <c r="E297" i="18"/>
  <c r="E296" i="18"/>
  <c r="E295" i="18"/>
  <c r="E294" i="18"/>
  <c r="E293" i="18"/>
  <c r="E292" i="18"/>
  <c r="E291" i="18"/>
  <c r="E290" i="18"/>
  <c r="O289" i="18"/>
  <c r="N289" i="18"/>
  <c r="E289" i="18"/>
  <c r="E288" i="18"/>
  <c r="E287" i="18"/>
  <c r="E286" i="18"/>
  <c r="E285" i="18"/>
  <c r="E284" i="18"/>
  <c r="E283" i="18"/>
  <c r="E282" i="18"/>
  <c r="E281" i="18"/>
  <c r="E280" i="18"/>
  <c r="E279" i="18"/>
  <c r="E278" i="18"/>
  <c r="E277" i="18"/>
  <c r="E276" i="18"/>
  <c r="E275" i="18"/>
  <c r="O274" i="18"/>
  <c r="N274" i="18"/>
  <c r="E274" i="18"/>
  <c r="E273" i="18"/>
  <c r="E272" i="18"/>
  <c r="E271" i="18"/>
  <c r="E270" i="18"/>
  <c r="O269" i="18"/>
  <c r="N269" i="18"/>
  <c r="E269" i="18"/>
  <c r="E268" i="18"/>
  <c r="E267" i="18"/>
  <c r="E266" i="18"/>
  <c r="E265" i="18"/>
  <c r="E264" i="18"/>
  <c r="E263" i="18"/>
  <c r="E262" i="18"/>
  <c r="O261" i="18"/>
  <c r="N261" i="18"/>
  <c r="E261" i="18"/>
  <c r="E260" i="18"/>
  <c r="E259" i="18"/>
  <c r="E258" i="18"/>
  <c r="E257" i="18"/>
  <c r="O256" i="18"/>
  <c r="N256" i="18"/>
  <c r="E256" i="18"/>
  <c r="E255" i="18"/>
  <c r="E254" i="18"/>
  <c r="E253" i="18"/>
  <c r="E252" i="18"/>
  <c r="E251" i="18"/>
  <c r="E250" i="18"/>
  <c r="E249" i="18"/>
  <c r="E248" i="18"/>
  <c r="O247" i="18"/>
  <c r="N247" i="18"/>
  <c r="E247" i="18"/>
  <c r="E246" i="18"/>
  <c r="E245" i="18"/>
  <c r="E244" i="18"/>
  <c r="C244" i="18"/>
  <c r="E243" i="18"/>
  <c r="C243" i="18"/>
  <c r="E242" i="18"/>
  <c r="C242" i="18"/>
  <c r="E241" i="18"/>
  <c r="C241" i="18"/>
  <c r="E240" i="18"/>
  <c r="C240" i="18"/>
  <c r="E239" i="18"/>
  <c r="C239" i="18"/>
  <c r="E238" i="18"/>
  <c r="C238" i="18"/>
  <c r="E237" i="18"/>
  <c r="C237" i="18"/>
  <c r="E236" i="18"/>
  <c r="C236" i="18"/>
  <c r="E235" i="18"/>
  <c r="C235" i="18"/>
  <c r="E234" i="18"/>
  <c r="C234" i="18"/>
  <c r="E233" i="18"/>
  <c r="C233" i="18"/>
  <c r="O232" i="18"/>
  <c r="N232" i="18"/>
  <c r="E232" i="18"/>
  <c r="C232" i="18"/>
  <c r="E231" i="18"/>
  <c r="C231" i="18"/>
  <c r="E230" i="18"/>
  <c r="C230" i="18"/>
  <c r="E229" i="18"/>
  <c r="C229" i="18"/>
  <c r="E228" i="18"/>
  <c r="C228" i="18"/>
  <c r="E227" i="18"/>
  <c r="C227" i="18"/>
  <c r="E226" i="18"/>
  <c r="C226" i="18"/>
  <c r="E225" i="18"/>
  <c r="C225" i="18"/>
  <c r="E224" i="18"/>
  <c r="C224" i="18"/>
  <c r="E223" i="18"/>
  <c r="C223" i="18"/>
  <c r="E222" i="18"/>
  <c r="C222" i="18"/>
  <c r="E221" i="18"/>
  <c r="C221" i="18"/>
  <c r="E220" i="18"/>
  <c r="C220" i="18"/>
  <c r="E219" i="18"/>
  <c r="C219" i="18"/>
  <c r="O218" i="18"/>
  <c r="N218" i="18"/>
  <c r="E218" i="18"/>
  <c r="C218" i="18"/>
  <c r="E217" i="18"/>
  <c r="C217" i="18"/>
  <c r="E216" i="18"/>
  <c r="C216" i="18"/>
  <c r="E215" i="18"/>
  <c r="C215" i="18"/>
  <c r="E214" i="18"/>
  <c r="C214" i="18"/>
  <c r="E213" i="18"/>
  <c r="C213" i="18"/>
  <c r="E212" i="18"/>
  <c r="C212" i="18"/>
  <c r="O211" i="18"/>
  <c r="N211" i="18"/>
  <c r="E211" i="18"/>
  <c r="C211" i="18"/>
  <c r="E210" i="18"/>
  <c r="C210" i="18"/>
  <c r="E209" i="18"/>
  <c r="C209" i="18"/>
  <c r="E208" i="18"/>
  <c r="C208" i="18"/>
  <c r="E207" i="18"/>
  <c r="C207" i="18"/>
  <c r="E206" i="18"/>
  <c r="C206" i="18"/>
  <c r="E205" i="18"/>
  <c r="C205" i="18"/>
  <c r="E204" i="18"/>
  <c r="C204" i="18"/>
  <c r="E203" i="18"/>
  <c r="C203" i="18"/>
  <c r="E202" i="18"/>
  <c r="C202" i="18"/>
  <c r="E201" i="18"/>
  <c r="C201" i="18"/>
  <c r="E200" i="18"/>
  <c r="C200" i="18"/>
  <c r="E199" i="18"/>
  <c r="C199" i="18"/>
  <c r="E198" i="18"/>
  <c r="C198" i="18"/>
  <c r="E197" i="18"/>
  <c r="C197" i="18"/>
  <c r="E196" i="18"/>
  <c r="C196" i="18"/>
  <c r="E195" i="18"/>
  <c r="C195" i="18"/>
  <c r="E194" i="18"/>
  <c r="C194" i="18"/>
  <c r="E193" i="18"/>
  <c r="C193" i="18"/>
  <c r="E192" i="18"/>
  <c r="C192" i="18"/>
  <c r="E191" i="18"/>
  <c r="C191" i="18"/>
  <c r="O190" i="18"/>
  <c r="N190" i="18"/>
  <c r="E190" i="18"/>
  <c r="C190" i="18"/>
  <c r="E189" i="18"/>
  <c r="C189" i="18"/>
  <c r="E188" i="18"/>
  <c r="C188" i="18"/>
  <c r="E187" i="18"/>
  <c r="C187" i="18"/>
  <c r="E186" i="18"/>
  <c r="C186" i="18"/>
  <c r="E185" i="18"/>
  <c r="C185" i="18"/>
  <c r="E184" i="18"/>
  <c r="C184" i="18"/>
  <c r="E183" i="18"/>
  <c r="C183" i="18"/>
  <c r="E182" i="18"/>
  <c r="C182" i="18"/>
  <c r="E181" i="18"/>
  <c r="C181" i="18"/>
  <c r="E180" i="18"/>
  <c r="C180" i="18"/>
  <c r="E179" i="18"/>
  <c r="C179" i="18"/>
  <c r="E178" i="18"/>
  <c r="C178" i="18"/>
  <c r="E177" i="18"/>
  <c r="C177" i="18"/>
  <c r="E176" i="18"/>
  <c r="C176" i="18"/>
  <c r="E175" i="18"/>
  <c r="C175" i="18"/>
  <c r="E174" i="18"/>
  <c r="C174" i="18"/>
  <c r="E173" i="18"/>
  <c r="C173" i="18"/>
  <c r="E172" i="18"/>
  <c r="C172" i="18"/>
  <c r="E171" i="18"/>
  <c r="C171" i="18"/>
  <c r="O170" i="18"/>
  <c r="N170" i="18"/>
  <c r="E170" i="18"/>
  <c r="C170" i="18"/>
  <c r="E169" i="18"/>
  <c r="C169" i="18"/>
  <c r="E168" i="18"/>
  <c r="C168" i="18"/>
  <c r="E167" i="18"/>
  <c r="C167" i="18"/>
  <c r="E166" i="18"/>
  <c r="C166" i="18"/>
  <c r="E165" i="18"/>
  <c r="C165" i="18"/>
  <c r="O164" i="18"/>
  <c r="N164" i="18"/>
  <c r="E164" i="18"/>
  <c r="C164" i="18"/>
  <c r="E163" i="18"/>
  <c r="C163" i="18"/>
  <c r="O162" i="18"/>
  <c r="N162" i="18"/>
  <c r="E162" i="18"/>
  <c r="C162" i="18"/>
  <c r="E161" i="18"/>
  <c r="C161" i="18"/>
  <c r="E160" i="18"/>
  <c r="C160" i="18"/>
  <c r="E159" i="18"/>
  <c r="C159" i="18"/>
  <c r="E158" i="18"/>
  <c r="C158" i="18"/>
  <c r="O157" i="18"/>
  <c r="N157" i="18"/>
  <c r="E157" i="18"/>
  <c r="C157" i="18"/>
  <c r="E156" i="18"/>
  <c r="C156" i="18"/>
  <c r="E155" i="18"/>
  <c r="C155" i="18"/>
  <c r="E154" i="18"/>
  <c r="C154" i="18"/>
  <c r="E153" i="18"/>
  <c r="C153" i="18"/>
  <c r="E152" i="18"/>
  <c r="C152" i="18"/>
  <c r="E151" i="18"/>
  <c r="C151" i="18"/>
  <c r="E150" i="18"/>
  <c r="C150" i="18"/>
  <c r="O149" i="18"/>
  <c r="N149" i="18"/>
  <c r="E149" i="18"/>
  <c r="C149" i="18"/>
  <c r="E148" i="18"/>
  <c r="C148" i="18"/>
  <c r="E147" i="18"/>
  <c r="C147" i="18"/>
  <c r="E146" i="18"/>
  <c r="C146" i="18"/>
  <c r="E145" i="18"/>
  <c r="C145" i="18"/>
  <c r="E144" i="18"/>
  <c r="C144" i="18"/>
  <c r="E143" i="18"/>
  <c r="C143" i="18"/>
  <c r="E142" i="18"/>
  <c r="C142" i="18"/>
  <c r="O141" i="18"/>
  <c r="N141" i="18"/>
  <c r="E141" i="18"/>
  <c r="C141" i="18"/>
  <c r="E140" i="18"/>
  <c r="C140" i="18"/>
  <c r="E139" i="18"/>
  <c r="C139" i="18"/>
  <c r="E138" i="18"/>
  <c r="C138" i="18"/>
  <c r="E137" i="18"/>
  <c r="C137" i="18"/>
  <c r="E136" i="18"/>
  <c r="C136" i="18"/>
  <c r="E135" i="18"/>
  <c r="C135" i="18"/>
  <c r="O134" i="18"/>
  <c r="N134" i="18"/>
  <c r="E134" i="18"/>
  <c r="C134" i="18"/>
  <c r="E133" i="18"/>
  <c r="C133" i="18"/>
  <c r="E132" i="18"/>
  <c r="C132" i="18"/>
  <c r="E131" i="18"/>
  <c r="C131" i="18"/>
  <c r="O130" i="18"/>
  <c r="N130" i="18"/>
  <c r="E130" i="18"/>
  <c r="C130" i="18"/>
  <c r="E129" i="18"/>
  <c r="C129" i="18"/>
  <c r="E128" i="18"/>
  <c r="C128" i="18"/>
  <c r="E127" i="18"/>
  <c r="C127" i="18"/>
  <c r="E126" i="18"/>
  <c r="C126" i="18"/>
  <c r="E125" i="18"/>
  <c r="C125" i="18"/>
  <c r="E124" i="18"/>
  <c r="C124" i="18"/>
  <c r="E123" i="18"/>
  <c r="C123" i="18"/>
  <c r="E122" i="18"/>
  <c r="C122" i="18"/>
  <c r="E121" i="18"/>
  <c r="C121" i="18"/>
  <c r="E120" i="18"/>
  <c r="C120" i="18"/>
  <c r="E119" i="18"/>
  <c r="C119" i="18"/>
  <c r="E118" i="18"/>
  <c r="C118" i="18"/>
  <c r="E117" i="18"/>
  <c r="C117" i="18"/>
  <c r="E116" i="18"/>
  <c r="C116" i="18"/>
  <c r="E115" i="18"/>
  <c r="C115" i="18"/>
  <c r="E114" i="18"/>
  <c r="C114" i="18"/>
  <c r="E113" i="18"/>
  <c r="C113" i="18"/>
  <c r="E112" i="18"/>
  <c r="C112" i="18"/>
  <c r="E111" i="18"/>
  <c r="C111" i="18"/>
  <c r="E110" i="18"/>
  <c r="C110" i="18"/>
  <c r="E109" i="18"/>
  <c r="C109" i="18"/>
  <c r="E108" i="18"/>
  <c r="C108" i="18"/>
  <c r="E107" i="18"/>
  <c r="C107" i="18"/>
  <c r="E106" i="18"/>
  <c r="C106" i="18"/>
  <c r="E105" i="18"/>
  <c r="C105" i="18"/>
  <c r="E104" i="18"/>
  <c r="C104" i="18"/>
  <c r="E103" i="18"/>
  <c r="C103" i="18"/>
  <c r="O102" i="18"/>
  <c r="N102" i="18"/>
  <c r="E102" i="18"/>
  <c r="C102" i="18"/>
  <c r="E101" i="18"/>
  <c r="C101" i="18"/>
  <c r="O100" i="18"/>
  <c r="N100" i="18"/>
  <c r="E100" i="18"/>
  <c r="C100" i="18"/>
  <c r="E99" i="18"/>
  <c r="C99" i="18"/>
  <c r="E98" i="18"/>
  <c r="C98" i="18"/>
  <c r="E97" i="18"/>
  <c r="C97" i="18"/>
  <c r="E96" i="18"/>
  <c r="C96" i="18"/>
  <c r="O95" i="18"/>
  <c r="N95" i="18"/>
  <c r="E95" i="18"/>
  <c r="C95" i="18"/>
  <c r="E94" i="18"/>
  <c r="C94" i="18"/>
  <c r="E93" i="18"/>
  <c r="C93" i="18"/>
  <c r="E92" i="18"/>
  <c r="C92" i="18"/>
  <c r="E91" i="18"/>
  <c r="C91" i="18"/>
  <c r="E90" i="18"/>
  <c r="C90" i="18"/>
  <c r="E89" i="18"/>
  <c r="C89" i="18"/>
  <c r="E88" i="18"/>
  <c r="C88" i="18"/>
  <c r="E87" i="18"/>
  <c r="C87" i="18"/>
  <c r="E86" i="18"/>
  <c r="C86" i="18"/>
  <c r="E85" i="18"/>
  <c r="C85" i="18"/>
  <c r="E84" i="18"/>
  <c r="C84" i="18"/>
  <c r="E83" i="18"/>
  <c r="C83" i="18"/>
  <c r="E82" i="18"/>
  <c r="C82" i="18"/>
  <c r="O81" i="18"/>
  <c r="N81" i="18"/>
  <c r="E81" i="18"/>
  <c r="C81" i="18"/>
  <c r="E80" i="18"/>
  <c r="C80" i="18"/>
  <c r="E79" i="18"/>
  <c r="C79" i="18"/>
  <c r="E78" i="18"/>
  <c r="C78" i="18"/>
  <c r="E77" i="18"/>
  <c r="C77" i="18"/>
  <c r="E76" i="18"/>
  <c r="C76" i="18"/>
  <c r="E75" i="18"/>
  <c r="C75" i="18"/>
  <c r="E74" i="18"/>
  <c r="C74" i="18"/>
  <c r="E73" i="18"/>
  <c r="C73" i="18"/>
  <c r="E72" i="18"/>
  <c r="C72" i="18"/>
  <c r="E71" i="18"/>
  <c r="C71" i="18"/>
  <c r="E70" i="18"/>
  <c r="C70" i="18"/>
  <c r="E69" i="18"/>
  <c r="C69" i="18"/>
  <c r="E68" i="18"/>
  <c r="C68" i="18"/>
  <c r="E67" i="18"/>
  <c r="C67" i="18"/>
  <c r="E66" i="18"/>
  <c r="C66" i="18"/>
  <c r="E65" i="18"/>
  <c r="C65" i="18"/>
  <c r="O64" i="18"/>
  <c r="N64" i="18"/>
  <c r="E64" i="18"/>
  <c r="C64" i="18"/>
  <c r="E63" i="18"/>
  <c r="C63" i="18"/>
  <c r="E62" i="18"/>
  <c r="C62" i="18"/>
  <c r="E61" i="18"/>
  <c r="C61" i="18"/>
  <c r="E60" i="18"/>
  <c r="C60" i="18"/>
  <c r="E59" i="18"/>
  <c r="C59" i="18"/>
  <c r="E58" i="18"/>
  <c r="C58" i="18"/>
  <c r="Q57" i="18"/>
  <c r="O57" i="18"/>
  <c r="N57" i="18"/>
  <c r="E57" i="18"/>
  <c r="C57" i="18"/>
  <c r="E56" i="18"/>
  <c r="C56" i="18"/>
  <c r="E55" i="18"/>
  <c r="C55" i="18"/>
  <c r="E54" i="18"/>
  <c r="C54" i="18"/>
  <c r="O53" i="18"/>
  <c r="N53" i="18"/>
  <c r="E53" i="18"/>
  <c r="C53" i="18"/>
  <c r="E52" i="18"/>
  <c r="C52" i="18"/>
  <c r="E51" i="18"/>
  <c r="C51" i="18"/>
  <c r="E50" i="18"/>
  <c r="Q50" i="18" s="1"/>
  <c r="C50" i="18"/>
  <c r="E49" i="18"/>
  <c r="C49" i="18"/>
  <c r="E48" i="18"/>
  <c r="C48" i="18"/>
  <c r="E47" i="18"/>
  <c r="C47" i="18"/>
  <c r="E46" i="18"/>
  <c r="C46" i="18"/>
  <c r="E45" i="18"/>
  <c r="C45" i="18"/>
  <c r="E44" i="18"/>
  <c r="Q44" i="18" s="1"/>
  <c r="C44" i="18"/>
  <c r="E43" i="18"/>
  <c r="Q43" i="18" s="1"/>
  <c r="C43" i="18"/>
  <c r="E42" i="18"/>
  <c r="C42" i="18"/>
  <c r="E41" i="18"/>
  <c r="C41" i="18"/>
  <c r="E40" i="18"/>
  <c r="C40" i="18"/>
  <c r="O39" i="18"/>
  <c r="N39" i="18"/>
  <c r="E39" i="18"/>
  <c r="C39" i="18"/>
  <c r="E38" i="18"/>
  <c r="C38" i="18"/>
  <c r="E37" i="18"/>
  <c r="C37" i="18"/>
  <c r="E36" i="18"/>
  <c r="Q36" i="18" s="1"/>
  <c r="C36" i="18"/>
  <c r="E35" i="18"/>
  <c r="C35" i="18"/>
  <c r="E34" i="18"/>
  <c r="C34" i="18"/>
  <c r="E33" i="18"/>
  <c r="C33" i="18"/>
  <c r="E32" i="18"/>
  <c r="C32" i="18"/>
  <c r="E31" i="18"/>
  <c r="C31" i="18"/>
  <c r="O30" i="18"/>
  <c r="N30" i="18"/>
  <c r="E30" i="18"/>
  <c r="Q30" i="18" s="1"/>
  <c r="C30" i="18"/>
  <c r="E29" i="18"/>
  <c r="Q29" i="18" s="1"/>
  <c r="C29" i="18"/>
  <c r="E28" i="18"/>
  <c r="C28" i="18"/>
  <c r="Q27" i="18"/>
  <c r="E27" i="18"/>
  <c r="C27" i="18"/>
  <c r="E26" i="18"/>
  <c r="C26" i="18"/>
  <c r="O25" i="18"/>
  <c r="N25" i="18"/>
  <c r="E25" i="18"/>
  <c r="C25" i="18"/>
  <c r="E24" i="18"/>
  <c r="C24" i="18"/>
  <c r="E23" i="18"/>
  <c r="Q23" i="18" s="1"/>
  <c r="C23" i="18"/>
  <c r="E22" i="18"/>
  <c r="Q22" i="18" s="1"/>
  <c r="C22" i="18"/>
  <c r="E21" i="18"/>
  <c r="C21" i="18"/>
  <c r="E20" i="18"/>
  <c r="Q20" i="18" s="1"/>
  <c r="C20" i="18"/>
  <c r="E19" i="18"/>
  <c r="C19" i="18"/>
  <c r="E18" i="18"/>
  <c r="C18" i="18"/>
  <c r="E17" i="18"/>
  <c r="C17" i="18"/>
  <c r="E16" i="18"/>
  <c r="Q16" i="18" s="1"/>
  <c r="C16" i="18"/>
  <c r="E15" i="18"/>
  <c r="Q15" i="18" s="1"/>
  <c r="C15" i="18"/>
  <c r="E14" i="18"/>
  <c r="C14" i="18"/>
  <c r="Q13" i="18"/>
  <c r="E13" i="18"/>
  <c r="C13" i="18"/>
  <c r="E12" i="18"/>
  <c r="C12" i="18"/>
  <c r="E11" i="18"/>
  <c r="C11" i="18"/>
  <c r="O10" i="18"/>
  <c r="N10" i="18"/>
  <c r="E10" i="18"/>
  <c r="Q10" i="18" s="1"/>
  <c r="C10" i="18"/>
  <c r="E9" i="18"/>
  <c r="C9" i="18"/>
  <c r="E8" i="18"/>
  <c r="Q8" i="18" s="1"/>
  <c r="C8" i="18"/>
  <c r="E7" i="18"/>
  <c r="C7" i="18"/>
  <c r="E6" i="18"/>
  <c r="Q6" i="18" s="1"/>
  <c r="C6" i="18"/>
  <c r="E5" i="18"/>
  <c r="C5" i="18"/>
  <c r="O4" i="18"/>
  <c r="N4" i="18"/>
  <c r="D4" i="18"/>
  <c r="E4" i="18" s="1"/>
  <c r="C4" i="18"/>
  <c r="E3" i="18"/>
  <c r="C3" i="18"/>
  <c r="C2" i="18"/>
  <c r="E366" i="17"/>
  <c r="E365" i="17"/>
  <c r="D362" i="17"/>
  <c r="D363" i="17" s="1"/>
  <c r="D360" i="17"/>
  <c r="E361" i="17" s="1"/>
  <c r="E359" i="17"/>
  <c r="E358" i="17"/>
  <c r="D355" i="17"/>
  <c r="D356" i="17" s="1"/>
  <c r="E354" i="17"/>
  <c r="E353" i="17"/>
  <c r="E352" i="17"/>
  <c r="O351" i="17"/>
  <c r="N351" i="17"/>
  <c r="E351" i="17"/>
  <c r="D348" i="17"/>
  <c r="D349" i="17" s="1"/>
  <c r="O347" i="17"/>
  <c r="N347" i="17"/>
  <c r="E347" i="17"/>
  <c r="E346" i="17"/>
  <c r="E345" i="17"/>
  <c r="E344" i="17"/>
  <c r="D341" i="17"/>
  <c r="E341" i="17" s="1"/>
  <c r="E340" i="17"/>
  <c r="E339" i="17"/>
  <c r="E338" i="17"/>
  <c r="O337" i="17"/>
  <c r="N337" i="17"/>
  <c r="E337" i="17"/>
  <c r="D334" i="17"/>
  <c r="E334" i="17" s="1"/>
  <c r="E333" i="17"/>
  <c r="E332" i="17"/>
  <c r="E331" i="17"/>
  <c r="E330" i="17"/>
  <c r="E329" i="17"/>
  <c r="D328" i="17"/>
  <c r="E328" i="17" s="1"/>
  <c r="E327" i="17"/>
  <c r="D327" i="17"/>
  <c r="E326" i="17"/>
  <c r="E325" i="17"/>
  <c r="E324" i="17"/>
  <c r="E323" i="17"/>
  <c r="E322" i="17"/>
  <c r="E321" i="17"/>
  <c r="E320" i="17"/>
  <c r="E319" i="17"/>
  <c r="E318" i="17"/>
  <c r="E317" i="17"/>
  <c r="E316" i="17"/>
  <c r="E315" i="17"/>
  <c r="E314" i="17"/>
  <c r="E313" i="17"/>
  <c r="E312" i="17"/>
  <c r="E311" i="17"/>
  <c r="E310" i="17"/>
  <c r="E309" i="17"/>
  <c r="E308" i="17"/>
  <c r="E307" i="17"/>
  <c r="E306" i="17"/>
  <c r="E305" i="17"/>
  <c r="E304" i="17"/>
  <c r="E303" i="17"/>
  <c r="O302" i="17"/>
  <c r="N302" i="17"/>
  <c r="E302" i="17"/>
  <c r="E301" i="17"/>
  <c r="E300" i="17"/>
  <c r="E299" i="17"/>
  <c r="E298" i="17"/>
  <c r="E297" i="17"/>
  <c r="E296" i="17"/>
  <c r="E295" i="17"/>
  <c r="E294" i="17"/>
  <c r="E293" i="17"/>
  <c r="E292" i="17"/>
  <c r="E291" i="17"/>
  <c r="E290" i="17"/>
  <c r="O289" i="17"/>
  <c r="N289" i="17"/>
  <c r="E289" i="17"/>
  <c r="E288" i="17"/>
  <c r="E287" i="17"/>
  <c r="E286" i="17"/>
  <c r="E285" i="17"/>
  <c r="E284" i="17"/>
  <c r="E283" i="17"/>
  <c r="E282" i="17"/>
  <c r="E281" i="17"/>
  <c r="E280" i="17"/>
  <c r="E279" i="17"/>
  <c r="E278" i="17"/>
  <c r="E277" i="17"/>
  <c r="E276" i="17"/>
  <c r="E275" i="17"/>
  <c r="O274" i="17"/>
  <c r="N274" i="17"/>
  <c r="E274" i="17"/>
  <c r="E273" i="17"/>
  <c r="E272" i="17"/>
  <c r="E271" i="17"/>
  <c r="E270" i="17"/>
  <c r="O269" i="17"/>
  <c r="N269" i="17"/>
  <c r="E269" i="17"/>
  <c r="E268" i="17"/>
  <c r="E267" i="17"/>
  <c r="E266" i="17"/>
  <c r="E265" i="17"/>
  <c r="E264" i="17"/>
  <c r="E263" i="17"/>
  <c r="E262" i="17"/>
  <c r="O261" i="17"/>
  <c r="N261" i="17"/>
  <c r="E261" i="17"/>
  <c r="E260" i="17"/>
  <c r="E259" i="17"/>
  <c r="E258" i="17"/>
  <c r="E257" i="17"/>
  <c r="O256" i="17"/>
  <c r="N256" i="17"/>
  <c r="E256" i="17"/>
  <c r="E255" i="17"/>
  <c r="E254" i="17"/>
  <c r="E253" i="17"/>
  <c r="E252" i="17"/>
  <c r="E251" i="17"/>
  <c r="E250" i="17"/>
  <c r="E249" i="17"/>
  <c r="E248" i="17"/>
  <c r="O247" i="17"/>
  <c r="N247" i="17"/>
  <c r="E247" i="17"/>
  <c r="E246" i="17"/>
  <c r="E245" i="17"/>
  <c r="E244" i="17"/>
  <c r="C244" i="17"/>
  <c r="E243" i="17"/>
  <c r="C243" i="17"/>
  <c r="E242" i="17"/>
  <c r="C242" i="17"/>
  <c r="E241" i="17"/>
  <c r="C241" i="17"/>
  <c r="E240" i="17"/>
  <c r="C240" i="17"/>
  <c r="E239" i="17"/>
  <c r="C239" i="17"/>
  <c r="E238" i="17"/>
  <c r="C238" i="17"/>
  <c r="E237" i="17"/>
  <c r="C237" i="17"/>
  <c r="E236" i="17"/>
  <c r="C236" i="17"/>
  <c r="E235" i="17"/>
  <c r="C235" i="17"/>
  <c r="E234" i="17"/>
  <c r="C234" i="17"/>
  <c r="E233" i="17"/>
  <c r="C233" i="17"/>
  <c r="O232" i="17"/>
  <c r="N232" i="17"/>
  <c r="E232" i="17"/>
  <c r="C232" i="17"/>
  <c r="E231" i="17"/>
  <c r="C231" i="17"/>
  <c r="E230" i="17"/>
  <c r="C230" i="17"/>
  <c r="E229" i="17"/>
  <c r="C229" i="17"/>
  <c r="E228" i="17"/>
  <c r="C228" i="17"/>
  <c r="E227" i="17"/>
  <c r="C227" i="17"/>
  <c r="E226" i="17"/>
  <c r="C226" i="17"/>
  <c r="E225" i="17"/>
  <c r="C225" i="17"/>
  <c r="E224" i="17"/>
  <c r="C224" i="17"/>
  <c r="E223" i="17"/>
  <c r="C223" i="17"/>
  <c r="E222" i="17"/>
  <c r="C222" i="17"/>
  <c r="E221" i="17"/>
  <c r="C221" i="17"/>
  <c r="E220" i="17"/>
  <c r="C220" i="17"/>
  <c r="E219" i="17"/>
  <c r="C219" i="17"/>
  <c r="O218" i="17"/>
  <c r="N218" i="17"/>
  <c r="E218" i="17"/>
  <c r="C218" i="17"/>
  <c r="E217" i="17"/>
  <c r="C217" i="17"/>
  <c r="E216" i="17"/>
  <c r="C216" i="17"/>
  <c r="E215" i="17"/>
  <c r="C215" i="17"/>
  <c r="E214" i="17"/>
  <c r="C214" i="17"/>
  <c r="E213" i="17"/>
  <c r="C213" i="17"/>
  <c r="E212" i="17"/>
  <c r="C212" i="17"/>
  <c r="O211" i="17"/>
  <c r="N211" i="17"/>
  <c r="E211" i="17"/>
  <c r="C211" i="17"/>
  <c r="E210" i="17"/>
  <c r="C210" i="17"/>
  <c r="E209" i="17"/>
  <c r="C209" i="17"/>
  <c r="E208" i="17"/>
  <c r="C208" i="17"/>
  <c r="E207" i="17"/>
  <c r="C207" i="17"/>
  <c r="E206" i="17"/>
  <c r="C206" i="17"/>
  <c r="E205" i="17"/>
  <c r="C205" i="17"/>
  <c r="E204" i="17"/>
  <c r="C204" i="17"/>
  <c r="E203" i="17"/>
  <c r="C203" i="17"/>
  <c r="E202" i="17"/>
  <c r="C202" i="17"/>
  <c r="E201" i="17"/>
  <c r="C201" i="17"/>
  <c r="E200" i="17"/>
  <c r="C200" i="17"/>
  <c r="E199" i="17"/>
  <c r="C199" i="17"/>
  <c r="E198" i="17"/>
  <c r="C198" i="17"/>
  <c r="E197" i="17"/>
  <c r="C197" i="17"/>
  <c r="E196" i="17"/>
  <c r="C196" i="17"/>
  <c r="E195" i="17"/>
  <c r="C195" i="17"/>
  <c r="E194" i="17"/>
  <c r="C194" i="17"/>
  <c r="E193" i="17"/>
  <c r="C193" i="17"/>
  <c r="E192" i="17"/>
  <c r="C192" i="17"/>
  <c r="E191" i="17"/>
  <c r="C191" i="17"/>
  <c r="O190" i="17"/>
  <c r="N190" i="17"/>
  <c r="E190" i="17"/>
  <c r="C190" i="17"/>
  <c r="E189" i="17"/>
  <c r="C189" i="17"/>
  <c r="E188" i="17"/>
  <c r="C188" i="17"/>
  <c r="E187" i="17"/>
  <c r="C187" i="17"/>
  <c r="E186" i="17"/>
  <c r="C186" i="17"/>
  <c r="E185" i="17"/>
  <c r="C185" i="17"/>
  <c r="E184" i="17"/>
  <c r="C184" i="17"/>
  <c r="E183" i="17"/>
  <c r="C183" i="17"/>
  <c r="E182" i="17"/>
  <c r="C182" i="17"/>
  <c r="E181" i="17"/>
  <c r="C181" i="17"/>
  <c r="E180" i="17"/>
  <c r="C180" i="17"/>
  <c r="E179" i="17"/>
  <c r="C179" i="17"/>
  <c r="E178" i="17"/>
  <c r="C178" i="17"/>
  <c r="E177" i="17"/>
  <c r="C177" i="17"/>
  <c r="E176" i="17"/>
  <c r="C176" i="17"/>
  <c r="E175" i="17"/>
  <c r="C175" i="17"/>
  <c r="E174" i="17"/>
  <c r="C174" i="17"/>
  <c r="E173" i="17"/>
  <c r="C173" i="17"/>
  <c r="E172" i="17"/>
  <c r="C172" i="17"/>
  <c r="E171" i="17"/>
  <c r="C171" i="17"/>
  <c r="O170" i="17"/>
  <c r="N170" i="17"/>
  <c r="E170" i="17"/>
  <c r="C170" i="17"/>
  <c r="E169" i="17"/>
  <c r="C169" i="17"/>
  <c r="E168" i="17"/>
  <c r="C168" i="17"/>
  <c r="E167" i="17"/>
  <c r="C167" i="17"/>
  <c r="E166" i="17"/>
  <c r="C166" i="17"/>
  <c r="E165" i="17"/>
  <c r="C165" i="17"/>
  <c r="O164" i="17"/>
  <c r="N164" i="17"/>
  <c r="E164" i="17"/>
  <c r="C164" i="17"/>
  <c r="E163" i="17"/>
  <c r="C163" i="17"/>
  <c r="O162" i="17"/>
  <c r="N162" i="17"/>
  <c r="E162" i="17"/>
  <c r="C162" i="17"/>
  <c r="E161" i="17"/>
  <c r="C161" i="17"/>
  <c r="E160" i="17"/>
  <c r="C160" i="17"/>
  <c r="E159" i="17"/>
  <c r="C159" i="17"/>
  <c r="E158" i="17"/>
  <c r="C158" i="17"/>
  <c r="O157" i="17"/>
  <c r="N157" i="17"/>
  <c r="E157" i="17"/>
  <c r="C157" i="17"/>
  <c r="E156" i="17"/>
  <c r="C156" i="17"/>
  <c r="E155" i="17"/>
  <c r="C155" i="17"/>
  <c r="E154" i="17"/>
  <c r="C154" i="17"/>
  <c r="E153" i="17"/>
  <c r="C153" i="17"/>
  <c r="E152" i="17"/>
  <c r="C152" i="17"/>
  <c r="E151" i="17"/>
  <c r="C151" i="17"/>
  <c r="E150" i="17"/>
  <c r="C150" i="17"/>
  <c r="O149" i="17"/>
  <c r="N149" i="17"/>
  <c r="E149" i="17"/>
  <c r="C149" i="17"/>
  <c r="E148" i="17"/>
  <c r="C148" i="17"/>
  <c r="E147" i="17"/>
  <c r="C147" i="17"/>
  <c r="E146" i="17"/>
  <c r="C146" i="17"/>
  <c r="E145" i="17"/>
  <c r="C145" i="17"/>
  <c r="E144" i="17"/>
  <c r="C144" i="17"/>
  <c r="E143" i="17"/>
  <c r="C143" i="17"/>
  <c r="E142" i="17"/>
  <c r="C142" i="17"/>
  <c r="O141" i="17"/>
  <c r="N141" i="17"/>
  <c r="E141" i="17"/>
  <c r="C141" i="17"/>
  <c r="E140" i="17"/>
  <c r="C140" i="17"/>
  <c r="E139" i="17"/>
  <c r="C139" i="17"/>
  <c r="E138" i="17"/>
  <c r="C138" i="17"/>
  <c r="E137" i="17"/>
  <c r="C137" i="17"/>
  <c r="E136" i="17"/>
  <c r="C136" i="17"/>
  <c r="E135" i="17"/>
  <c r="C135" i="17"/>
  <c r="O134" i="17"/>
  <c r="N134" i="17"/>
  <c r="E134" i="17"/>
  <c r="C134" i="17"/>
  <c r="E133" i="17"/>
  <c r="C133" i="17"/>
  <c r="E132" i="17"/>
  <c r="C132" i="17"/>
  <c r="E131" i="17"/>
  <c r="C131" i="17"/>
  <c r="O130" i="17"/>
  <c r="N130" i="17"/>
  <c r="E130" i="17"/>
  <c r="C130" i="17"/>
  <c r="E129" i="17"/>
  <c r="C129" i="17"/>
  <c r="E128" i="17"/>
  <c r="C128" i="17"/>
  <c r="E127" i="17"/>
  <c r="C127" i="17"/>
  <c r="E126" i="17"/>
  <c r="C126" i="17"/>
  <c r="E125" i="17"/>
  <c r="C125" i="17"/>
  <c r="E124" i="17"/>
  <c r="C124" i="17"/>
  <c r="E123" i="17"/>
  <c r="C123" i="17"/>
  <c r="E122" i="17"/>
  <c r="C122" i="17"/>
  <c r="E121" i="17"/>
  <c r="C121" i="17"/>
  <c r="E120" i="17"/>
  <c r="C120" i="17"/>
  <c r="E119" i="17"/>
  <c r="C119" i="17"/>
  <c r="E118" i="17"/>
  <c r="C118" i="17"/>
  <c r="E117" i="17"/>
  <c r="C117" i="17"/>
  <c r="E116" i="17"/>
  <c r="C116" i="17"/>
  <c r="E115" i="17"/>
  <c r="C115" i="17"/>
  <c r="E114" i="17"/>
  <c r="C114" i="17"/>
  <c r="E113" i="17"/>
  <c r="C113" i="17"/>
  <c r="E112" i="17"/>
  <c r="C112" i="17"/>
  <c r="E111" i="17"/>
  <c r="C111" i="17"/>
  <c r="E110" i="17"/>
  <c r="C110" i="17"/>
  <c r="E109" i="17"/>
  <c r="C109" i="17"/>
  <c r="E108" i="17"/>
  <c r="C108" i="17"/>
  <c r="E107" i="17"/>
  <c r="C107" i="17"/>
  <c r="E106" i="17"/>
  <c r="C106" i="17"/>
  <c r="E105" i="17"/>
  <c r="C105" i="17"/>
  <c r="E104" i="17"/>
  <c r="C104" i="17"/>
  <c r="E103" i="17"/>
  <c r="C103" i="17"/>
  <c r="O102" i="17"/>
  <c r="N102" i="17"/>
  <c r="E102" i="17"/>
  <c r="C102" i="17"/>
  <c r="E101" i="17"/>
  <c r="C101" i="17"/>
  <c r="O100" i="17"/>
  <c r="N100" i="17"/>
  <c r="E100" i="17"/>
  <c r="C100" i="17"/>
  <c r="E99" i="17"/>
  <c r="C99" i="17"/>
  <c r="E98" i="17"/>
  <c r="C98" i="17"/>
  <c r="E97" i="17"/>
  <c r="C97" i="17"/>
  <c r="E96" i="17"/>
  <c r="C96" i="17"/>
  <c r="O95" i="17"/>
  <c r="N95" i="17"/>
  <c r="E95" i="17"/>
  <c r="C95" i="17"/>
  <c r="E94" i="17"/>
  <c r="C94" i="17"/>
  <c r="E93" i="17"/>
  <c r="C93" i="17"/>
  <c r="E92" i="17"/>
  <c r="C92" i="17"/>
  <c r="E91" i="17"/>
  <c r="C91" i="17"/>
  <c r="E90" i="17"/>
  <c r="C90" i="17"/>
  <c r="E89" i="17"/>
  <c r="C89" i="17"/>
  <c r="E88" i="17"/>
  <c r="C88" i="17"/>
  <c r="E87" i="17"/>
  <c r="C87" i="17"/>
  <c r="E86" i="17"/>
  <c r="C86" i="17"/>
  <c r="E85" i="17"/>
  <c r="C85" i="17"/>
  <c r="E84" i="17"/>
  <c r="C84" i="17"/>
  <c r="E83" i="17"/>
  <c r="C83" i="17"/>
  <c r="E82" i="17"/>
  <c r="C82" i="17"/>
  <c r="O81" i="17"/>
  <c r="N81" i="17"/>
  <c r="E81" i="17"/>
  <c r="C81" i="17"/>
  <c r="E80" i="17"/>
  <c r="C80" i="17"/>
  <c r="E79" i="17"/>
  <c r="C79" i="17"/>
  <c r="E78" i="17"/>
  <c r="C78" i="17"/>
  <c r="E77" i="17"/>
  <c r="C77" i="17"/>
  <c r="E76" i="17"/>
  <c r="C76" i="17"/>
  <c r="E75" i="17"/>
  <c r="C75" i="17"/>
  <c r="E74" i="17"/>
  <c r="C74" i="17"/>
  <c r="E73" i="17"/>
  <c r="C73" i="17"/>
  <c r="E72" i="17"/>
  <c r="C72" i="17"/>
  <c r="E71" i="17"/>
  <c r="C71" i="17"/>
  <c r="E70" i="17"/>
  <c r="C70" i="17"/>
  <c r="E69" i="17"/>
  <c r="C69" i="17"/>
  <c r="E68" i="17"/>
  <c r="C68" i="17"/>
  <c r="E67" i="17"/>
  <c r="C67" i="17"/>
  <c r="E66" i="17"/>
  <c r="C66" i="17"/>
  <c r="E65" i="17"/>
  <c r="C65" i="17"/>
  <c r="O64" i="17"/>
  <c r="N64" i="17"/>
  <c r="E64" i="17"/>
  <c r="C64" i="17"/>
  <c r="E63" i="17"/>
  <c r="C63" i="17"/>
  <c r="E62" i="17"/>
  <c r="C62" i="17"/>
  <c r="E61" i="17"/>
  <c r="C61" i="17"/>
  <c r="E60" i="17"/>
  <c r="C60" i="17"/>
  <c r="E59" i="17"/>
  <c r="C59" i="17"/>
  <c r="E58" i="17"/>
  <c r="C58" i="17"/>
  <c r="O57" i="17"/>
  <c r="N57" i="17"/>
  <c r="E57" i="17"/>
  <c r="C57" i="17"/>
  <c r="E56" i="17"/>
  <c r="C56" i="17"/>
  <c r="E55" i="17"/>
  <c r="C55" i="17"/>
  <c r="E54" i="17"/>
  <c r="C54" i="17"/>
  <c r="O53" i="17"/>
  <c r="N53" i="17"/>
  <c r="E53" i="17"/>
  <c r="C53" i="17"/>
  <c r="E52" i="17"/>
  <c r="C52" i="17"/>
  <c r="E51" i="17"/>
  <c r="C51" i="17"/>
  <c r="E50" i="17"/>
  <c r="C50" i="17"/>
  <c r="E49" i="17"/>
  <c r="C49" i="17"/>
  <c r="E48" i="17"/>
  <c r="C48" i="17"/>
  <c r="E47" i="17"/>
  <c r="C47" i="17"/>
  <c r="E46" i="17"/>
  <c r="C46" i="17"/>
  <c r="E45" i="17"/>
  <c r="C45" i="17"/>
  <c r="E44" i="17"/>
  <c r="C44" i="17"/>
  <c r="E43" i="17"/>
  <c r="C43" i="17"/>
  <c r="E42" i="17"/>
  <c r="C42" i="17"/>
  <c r="E41" i="17"/>
  <c r="C41" i="17"/>
  <c r="E40" i="17"/>
  <c r="C40" i="17"/>
  <c r="O39" i="17"/>
  <c r="N39" i="17"/>
  <c r="E39" i="17"/>
  <c r="C39" i="17"/>
  <c r="E38" i="17"/>
  <c r="C38" i="17"/>
  <c r="E37" i="17"/>
  <c r="C37" i="17"/>
  <c r="E36" i="17"/>
  <c r="C36" i="17"/>
  <c r="E35" i="17"/>
  <c r="C35" i="17"/>
  <c r="E34" i="17"/>
  <c r="C34" i="17"/>
  <c r="E33" i="17"/>
  <c r="C33" i="17"/>
  <c r="E32" i="17"/>
  <c r="C32" i="17"/>
  <c r="E31" i="17"/>
  <c r="C31" i="17"/>
  <c r="O30" i="17"/>
  <c r="N30" i="17"/>
  <c r="E30" i="17"/>
  <c r="C30" i="17"/>
  <c r="E29" i="17"/>
  <c r="C29" i="17"/>
  <c r="E28" i="17"/>
  <c r="C28" i="17"/>
  <c r="E27" i="17"/>
  <c r="C27" i="17"/>
  <c r="E26" i="17"/>
  <c r="C26" i="17"/>
  <c r="O25" i="17"/>
  <c r="N25" i="17"/>
  <c r="E25" i="17"/>
  <c r="C25" i="17"/>
  <c r="E24" i="17"/>
  <c r="C24" i="17"/>
  <c r="E23" i="17"/>
  <c r="C23" i="17"/>
  <c r="E22" i="17"/>
  <c r="C22" i="17"/>
  <c r="E21" i="17"/>
  <c r="C21" i="17"/>
  <c r="E20" i="17"/>
  <c r="C20" i="17"/>
  <c r="E19" i="17"/>
  <c r="C19" i="17"/>
  <c r="E18" i="17"/>
  <c r="C18" i="17"/>
  <c r="E17" i="17"/>
  <c r="C17" i="17"/>
  <c r="E16" i="17"/>
  <c r="C16" i="17"/>
  <c r="E15" i="17"/>
  <c r="C15" i="17"/>
  <c r="E14" i="17"/>
  <c r="C14" i="17"/>
  <c r="E13" i="17"/>
  <c r="C13" i="17"/>
  <c r="E12" i="17"/>
  <c r="C12" i="17"/>
  <c r="E11" i="17"/>
  <c r="C11" i="17"/>
  <c r="O10" i="17"/>
  <c r="N10" i="17"/>
  <c r="E10" i="17"/>
  <c r="C10" i="17"/>
  <c r="E9" i="17"/>
  <c r="C9" i="17"/>
  <c r="E8" i="17"/>
  <c r="C8" i="17"/>
  <c r="E7" i="17"/>
  <c r="C7" i="17"/>
  <c r="E6" i="17"/>
  <c r="C6" i="17"/>
  <c r="E5" i="17"/>
  <c r="C5" i="17"/>
  <c r="O4" i="17"/>
  <c r="N4" i="17"/>
  <c r="E4" i="17"/>
  <c r="C4" i="17"/>
  <c r="E3" i="17"/>
  <c r="C3" i="17"/>
  <c r="C2" i="17"/>
  <c r="T25" i="13"/>
  <c r="T24" i="13"/>
  <c r="T27" i="6"/>
  <c r="D20" i="15"/>
  <c r="D19" i="15"/>
  <c r="D6" i="15" s="1"/>
  <c r="D7" i="15"/>
  <c r="D5" i="15"/>
  <c r="E30" i="16"/>
  <c r="E11" i="16"/>
  <c r="E357" i="17" l="1"/>
  <c r="E356" i="17"/>
  <c r="E363" i="17"/>
  <c r="E364" i="17"/>
  <c r="E349" i="17"/>
  <c r="E350" i="17"/>
  <c r="E362" i="17"/>
  <c r="D342" i="17"/>
  <c r="E348" i="17"/>
  <c r="D335" i="17"/>
  <c r="E355" i="17"/>
  <c r="E360" i="17"/>
  <c r="E20" i="16"/>
  <c r="D11" i="16"/>
  <c r="D30" i="16"/>
  <c r="E336" i="17" l="1"/>
  <c r="E335" i="17"/>
  <c r="E343" i="17"/>
  <c r="E342" i="17"/>
  <c r="C20" i="15"/>
  <c r="C19" i="15" l="1"/>
  <c r="C6" i="15" s="1"/>
  <c r="C7" i="15"/>
  <c r="C5" i="15"/>
  <c r="C45" i="16"/>
  <c r="O46" i="16" l="1"/>
  <c r="M46" i="16"/>
  <c r="L46" i="16"/>
  <c r="I46" i="16"/>
  <c r="H46" i="16"/>
  <c r="Q46" i="16"/>
  <c r="P46" i="16"/>
  <c r="E46" i="16"/>
  <c r="D46" i="16"/>
  <c r="C46" i="16"/>
  <c r="R43" i="16"/>
  <c r="N43" i="16"/>
  <c r="J43" i="16"/>
  <c r="F43" i="16"/>
  <c r="O38" i="16"/>
  <c r="H38" i="16"/>
  <c r="Q35" i="16"/>
  <c r="P35" i="16"/>
  <c r="O35" i="16"/>
  <c r="M35" i="16"/>
  <c r="L35" i="16"/>
  <c r="K35" i="16"/>
  <c r="I35" i="16"/>
  <c r="H35" i="16"/>
  <c r="G35" i="16"/>
  <c r="E35" i="16"/>
  <c r="D35" i="16"/>
  <c r="C35" i="16"/>
  <c r="Q34" i="16"/>
  <c r="P34" i="16"/>
  <c r="O34" i="16"/>
  <c r="M34" i="16"/>
  <c r="L34" i="16"/>
  <c r="K34" i="16"/>
  <c r="I34" i="16"/>
  <c r="H34" i="16"/>
  <c r="G34" i="16"/>
  <c r="E34" i="16"/>
  <c r="D34" i="16"/>
  <c r="C34" i="16"/>
  <c r="Q33" i="16"/>
  <c r="P33" i="16"/>
  <c r="O33" i="16"/>
  <c r="M33" i="16"/>
  <c r="L33" i="16"/>
  <c r="K33" i="16"/>
  <c r="I33" i="16"/>
  <c r="H33" i="16"/>
  <c r="G33" i="16"/>
  <c r="E33" i="16"/>
  <c r="D33" i="16"/>
  <c r="C33" i="16"/>
  <c r="Q32" i="16"/>
  <c r="P32" i="16"/>
  <c r="O32" i="16"/>
  <c r="M32" i="16"/>
  <c r="L32" i="16"/>
  <c r="K32" i="16"/>
  <c r="I32" i="16"/>
  <c r="H32" i="16"/>
  <c r="G32" i="16"/>
  <c r="E32" i="16"/>
  <c r="D32" i="16"/>
  <c r="C32" i="16"/>
  <c r="C30" i="16"/>
  <c r="R29" i="16"/>
  <c r="R35" i="16" s="1"/>
  <c r="N29" i="16"/>
  <c r="N30" i="16" s="1"/>
  <c r="J29" i="16"/>
  <c r="F29" i="16"/>
  <c r="R28" i="16"/>
  <c r="R30" i="16" s="1"/>
  <c r="N28" i="16"/>
  <c r="N32" i="16" s="1"/>
  <c r="J28" i="16"/>
  <c r="F28" i="16"/>
  <c r="Q25" i="16"/>
  <c r="P25" i="16"/>
  <c r="O25" i="16"/>
  <c r="M25" i="16"/>
  <c r="L25" i="16"/>
  <c r="K25" i="16"/>
  <c r="H25" i="16"/>
  <c r="G25" i="16"/>
  <c r="Q24" i="16"/>
  <c r="P24" i="16"/>
  <c r="O24" i="16"/>
  <c r="M24" i="16"/>
  <c r="L24" i="16"/>
  <c r="K24" i="16"/>
  <c r="H24" i="16"/>
  <c r="G24" i="16"/>
  <c r="Q23" i="16"/>
  <c r="P23" i="16"/>
  <c r="P38" i="16" s="1"/>
  <c r="O23" i="16"/>
  <c r="L23" i="16"/>
  <c r="L38" i="16" s="1"/>
  <c r="K23" i="16"/>
  <c r="K38" i="16" s="1"/>
  <c r="H23" i="16"/>
  <c r="G23" i="16"/>
  <c r="Q22" i="16"/>
  <c r="P22" i="16"/>
  <c r="O22" i="16"/>
  <c r="M22" i="16"/>
  <c r="L22" i="16"/>
  <c r="K22" i="16"/>
  <c r="I22" i="16"/>
  <c r="H22" i="16"/>
  <c r="G22" i="16"/>
  <c r="Q21" i="16"/>
  <c r="P21" i="16"/>
  <c r="O21" i="16"/>
  <c r="L21" i="16"/>
  <c r="K21" i="16"/>
  <c r="H21" i="16"/>
  <c r="G21" i="16"/>
  <c r="R20" i="16"/>
  <c r="M21" i="16"/>
  <c r="I23" i="16"/>
  <c r="I38" i="16" s="1"/>
  <c r="R19" i="16"/>
  <c r="R21" i="16" s="1"/>
  <c r="N19" i="16"/>
  <c r="N22" i="16" s="1"/>
  <c r="I24" i="16"/>
  <c r="Q16" i="16"/>
  <c r="Q39" i="16" s="1"/>
  <c r="P16" i="16"/>
  <c r="P39" i="16" s="1"/>
  <c r="O16" i="16"/>
  <c r="O39" i="16" s="1"/>
  <c r="M16" i="16"/>
  <c r="L16" i="16"/>
  <c r="K16" i="16"/>
  <c r="I16" i="16"/>
  <c r="H16" i="16"/>
  <c r="G16" i="16"/>
  <c r="E16" i="16"/>
  <c r="D16" i="16"/>
  <c r="C16" i="16"/>
  <c r="Q15" i="16"/>
  <c r="P15" i="16"/>
  <c r="O15" i="16"/>
  <c r="M15" i="16"/>
  <c r="L15" i="16"/>
  <c r="K15" i="16"/>
  <c r="I15" i="16"/>
  <c r="H15" i="16"/>
  <c r="G15" i="16"/>
  <c r="E15" i="16"/>
  <c r="D15" i="16"/>
  <c r="C15" i="16"/>
  <c r="Q14" i="16"/>
  <c r="Q38" i="16" s="1"/>
  <c r="P14" i="16"/>
  <c r="O14" i="16"/>
  <c r="M14" i="16"/>
  <c r="L14" i="16"/>
  <c r="K14" i="16"/>
  <c r="I14" i="16"/>
  <c r="H14" i="16"/>
  <c r="G14" i="16"/>
  <c r="E14" i="16"/>
  <c r="D14" i="16"/>
  <c r="C14" i="16"/>
  <c r="Q13" i="16"/>
  <c r="P13" i="16"/>
  <c r="O13" i="16"/>
  <c r="M13" i="16"/>
  <c r="L13" i="16"/>
  <c r="K13" i="16"/>
  <c r="I13" i="16"/>
  <c r="H13" i="16"/>
  <c r="G13" i="16"/>
  <c r="E13" i="16"/>
  <c r="D13" i="16"/>
  <c r="C13" i="16"/>
  <c r="C11" i="16"/>
  <c r="R10" i="16"/>
  <c r="R11" i="16" s="1"/>
  <c r="N10" i="16"/>
  <c r="N11" i="16" s="1"/>
  <c r="J10" i="16"/>
  <c r="F10" i="16"/>
  <c r="R9" i="16"/>
  <c r="N9" i="16"/>
  <c r="N13" i="16" s="1"/>
  <c r="J9" i="16"/>
  <c r="F9" i="16"/>
  <c r="R5" i="16"/>
  <c r="N5" i="16"/>
  <c r="J5" i="16"/>
  <c r="F5" i="16"/>
  <c r="R4" i="16"/>
  <c r="N4" i="16"/>
  <c r="J4" i="16"/>
  <c r="F4" i="16"/>
  <c r="Q3" i="16"/>
  <c r="P3" i="16"/>
  <c r="O3" i="16"/>
  <c r="M3" i="16"/>
  <c r="L3" i="16"/>
  <c r="K3" i="16"/>
  <c r="I3" i="16"/>
  <c r="H3" i="16"/>
  <c r="G3" i="16"/>
  <c r="E3" i="16"/>
  <c r="D3" i="16"/>
  <c r="C3" i="16"/>
  <c r="S1" i="16"/>
  <c r="B20" i="15"/>
  <c r="B19" i="15"/>
  <c r="J32" i="16" l="1"/>
  <c r="J30" i="16"/>
  <c r="G38" i="16"/>
  <c r="R32" i="16"/>
  <c r="R33" i="16"/>
  <c r="S28" i="16"/>
  <c r="R34" i="16"/>
  <c r="H39" i="16"/>
  <c r="G39" i="16"/>
  <c r="S43" i="16"/>
  <c r="F14" i="16"/>
  <c r="E22" i="16"/>
  <c r="D24" i="16"/>
  <c r="S10" i="16"/>
  <c r="S14" i="16" s="1"/>
  <c r="R13" i="16"/>
  <c r="N15" i="16"/>
  <c r="R24" i="16"/>
  <c r="R25" i="16"/>
  <c r="R15" i="16"/>
  <c r="K39" i="16"/>
  <c r="L39" i="16"/>
  <c r="N34" i="16"/>
  <c r="N35" i="16"/>
  <c r="M39" i="16"/>
  <c r="J34" i="16"/>
  <c r="J15" i="16"/>
  <c r="F34" i="16"/>
  <c r="R14" i="16"/>
  <c r="R38" i="16" s="1"/>
  <c r="R23" i="16"/>
  <c r="J33" i="16"/>
  <c r="F32" i="16"/>
  <c r="S4" i="16"/>
  <c r="S32" i="16" s="1"/>
  <c r="F33" i="16"/>
  <c r="F13" i="16"/>
  <c r="G46" i="16"/>
  <c r="J44" i="16"/>
  <c r="M38" i="16"/>
  <c r="N44" i="16"/>
  <c r="E23" i="16"/>
  <c r="E38" i="16" s="1"/>
  <c r="E25" i="16"/>
  <c r="E39" i="16" s="1"/>
  <c r="F11" i="16"/>
  <c r="J16" i="16"/>
  <c r="I21" i="16"/>
  <c r="F44" i="16"/>
  <c r="R44" i="16"/>
  <c r="J20" i="16"/>
  <c r="J14" i="16"/>
  <c r="R22" i="16"/>
  <c r="M23" i="16"/>
  <c r="N33" i="16"/>
  <c r="S9" i="16"/>
  <c r="F15" i="16"/>
  <c r="J19" i="16"/>
  <c r="N20" i="16"/>
  <c r="K46" i="16"/>
  <c r="J11" i="16"/>
  <c r="N16" i="16"/>
  <c r="S29" i="16"/>
  <c r="F35" i="16"/>
  <c r="N14" i="16"/>
  <c r="F16" i="16"/>
  <c r="R16" i="16"/>
  <c r="R39" i="16" s="1"/>
  <c r="N24" i="16"/>
  <c r="I25" i="16"/>
  <c r="I39" i="16" s="1"/>
  <c r="F30" i="16"/>
  <c r="J35" i="16"/>
  <c r="J13" i="16"/>
  <c r="D20" i="16"/>
  <c r="S5" i="16"/>
  <c r="O23" i="15"/>
  <c r="O22" i="15"/>
  <c r="U21" i="15"/>
  <c r="O21" i="15"/>
  <c r="T20" i="15"/>
  <c r="G27" i="15"/>
  <c r="G29" i="15" s="1"/>
  <c r="C27" i="15"/>
  <c r="O18" i="15"/>
  <c r="S9" i="15" s="1"/>
  <c r="S20" i="15" s="1"/>
  <c r="M14" i="15"/>
  <c r="L14" i="15"/>
  <c r="K14" i="15"/>
  <c r="J14" i="15"/>
  <c r="I14" i="15"/>
  <c r="H14" i="15"/>
  <c r="G14" i="15"/>
  <c r="F14" i="15"/>
  <c r="M12" i="15"/>
  <c r="L12" i="15"/>
  <c r="K12" i="15"/>
  <c r="U10" i="15"/>
  <c r="V10" i="15" s="1"/>
  <c r="F12" i="15"/>
  <c r="D12" i="15"/>
  <c r="O10" i="15"/>
  <c r="T9" i="15"/>
  <c r="J12" i="15"/>
  <c r="I12" i="15"/>
  <c r="H12" i="15"/>
  <c r="G12" i="15"/>
  <c r="O9" i="15"/>
  <c r="O8" i="15"/>
  <c r="E14" i="15"/>
  <c r="D14" i="15"/>
  <c r="C14" i="15"/>
  <c r="B7" i="15"/>
  <c r="B12" i="15" s="1"/>
  <c r="B5" i="15"/>
  <c r="O5" i="15" s="1"/>
  <c r="R21" i="13"/>
  <c r="Q21" i="13"/>
  <c r="P21" i="13"/>
  <c r="R20" i="13"/>
  <c r="D22" i="16" l="1"/>
  <c r="E21" i="16"/>
  <c r="E24" i="16"/>
  <c r="S16" i="16"/>
  <c r="S11" i="16"/>
  <c r="S34" i="16"/>
  <c r="C24" i="16"/>
  <c r="C22" i="16"/>
  <c r="F19" i="16"/>
  <c r="S30" i="16"/>
  <c r="S33" i="16"/>
  <c r="S35" i="16"/>
  <c r="J23" i="16"/>
  <c r="J38" i="16" s="1"/>
  <c r="J25" i="16"/>
  <c r="J39" i="16" s="1"/>
  <c r="J21" i="16"/>
  <c r="N46" i="16"/>
  <c r="N45" i="16"/>
  <c r="D23" i="16"/>
  <c r="D38" i="16" s="1"/>
  <c r="D21" i="16"/>
  <c r="D25" i="16"/>
  <c r="D39" i="16" s="1"/>
  <c r="R46" i="16"/>
  <c r="R45" i="16"/>
  <c r="F46" i="16"/>
  <c r="F45" i="16"/>
  <c r="S44" i="16"/>
  <c r="N21" i="16"/>
  <c r="N23" i="16"/>
  <c r="N25" i="16"/>
  <c r="N39" i="16" s="1"/>
  <c r="J22" i="16"/>
  <c r="J24" i="16"/>
  <c r="S3" i="16"/>
  <c r="C21" i="16"/>
  <c r="F20" i="16"/>
  <c r="C23" i="16"/>
  <c r="C38" i="16" s="1"/>
  <c r="C25" i="16"/>
  <c r="C39" i="16" s="1"/>
  <c r="S13" i="16"/>
  <c r="S15" i="16"/>
  <c r="J45" i="16"/>
  <c r="J46" i="16"/>
  <c r="N38" i="16"/>
  <c r="U23" i="15"/>
  <c r="B6" i="15"/>
  <c r="O6" i="15" s="1"/>
  <c r="U20" i="15"/>
  <c r="V20" i="15" s="1"/>
  <c r="U9" i="15"/>
  <c r="V9" i="15" s="1"/>
  <c r="C29" i="15"/>
  <c r="F25" i="15"/>
  <c r="F27" i="15"/>
  <c r="F29" i="15" s="1"/>
  <c r="B27" i="15"/>
  <c r="B25" i="15"/>
  <c r="C25" i="15"/>
  <c r="C12" i="15"/>
  <c r="U12" i="15"/>
  <c r="G25" i="15"/>
  <c r="O7" i="15"/>
  <c r="E12" i="15"/>
  <c r="B14" i="15"/>
  <c r="V21" i="15"/>
  <c r="M19" i="14"/>
  <c r="M6" i="14" s="1"/>
  <c r="M5" i="14"/>
  <c r="M9" i="14"/>
  <c r="M10" i="14"/>
  <c r="M12" i="14"/>
  <c r="M14" i="14"/>
  <c r="Q46" i="13"/>
  <c r="Q45" i="13"/>
  <c r="P44" i="13"/>
  <c r="P46" i="13" s="1"/>
  <c r="Q3" i="13"/>
  <c r="L19" i="14"/>
  <c r="L6" i="14" s="1"/>
  <c r="L14" i="14"/>
  <c r="L10" i="14"/>
  <c r="L9" i="14"/>
  <c r="L12" i="14" s="1"/>
  <c r="L5" i="14"/>
  <c r="O46" i="13"/>
  <c r="P45" i="13"/>
  <c r="S20" i="16" l="1"/>
  <c r="F21" i="16"/>
  <c r="F23" i="16"/>
  <c r="F38" i="16" s="1"/>
  <c r="F25" i="16"/>
  <c r="F39" i="16" s="1"/>
  <c r="S19" i="16"/>
  <c r="F22" i="16"/>
  <c r="F24" i="16"/>
  <c r="S45" i="16"/>
  <c r="S46" i="16"/>
  <c r="U13" i="15"/>
  <c r="U14" i="15" s="1"/>
  <c r="U15" i="15" s="1"/>
  <c r="U24" i="15"/>
  <c r="U25" i="15" s="1"/>
  <c r="U26" i="15" s="1"/>
  <c r="E25" i="15"/>
  <c r="E27" i="15"/>
  <c r="E29" i="15" s="1"/>
  <c r="M25" i="15"/>
  <c r="M27" i="15"/>
  <c r="M29" i="15" s="1"/>
  <c r="L27" i="15"/>
  <c r="L29" i="15" s="1"/>
  <c r="L25" i="15"/>
  <c r="D27" i="15"/>
  <c r="D29" i="15" s="1"/>
  <c r="D25" i="15"/>
  <c r="K27" i="15"/>
  <c r="K29" i="15" s="1"/>
  <c r="K25" i="15"/>
  <c r="J27" i="15"/>
  <c r="J29" i="15" s="1"/>
  <c r="J25" i="15"/>
  <c r="I27" i="15"/>
  <c r="I29" i="15" s="1"/>
  <c r="I25" i="15"/>
  <c r="O20" i="15"/>
  <c r="H27" i="15"/>
  <c r="H29" i="15" s="1"/>
  <c r="H25" i="15"/>
  <c r="B29" i="15"/>
  <c r="B30" i="15" s="1"/>
  <c r="C30" i="15" s="1"/>
  <c r="O12" i="15"/>
  <c r="O14" i="15"/>
  <c r="M20" i="14"/>
  <c r="L20" i="14"/>
  <c r="L27" i="14"/>
  <c r="L29" i="14" s="1"/>
  <c r="L25" i="14"/>
  <c r="P3" i="13"/>
  <c r="R19" i="13"/>
  <c r="K19" i="14"/>
  <c r="K6" i="14" s="1"/>
  <c r="K20" i="14"/>
  <c r="K14" i="14"/>
  <c r="K10" i="14"/>
  <c r="K9" i="14"/>
  <c r="K12" i="14" s="1"/>
  <c r="K5" i="14"/>
  <c r="O21" i="13"/>
  <c r="O3" i="13"/>
  <c r="O45" i="13"/>
  <c r="N46" i="13"/>
  <c r="J46" i="13"/>
  <c r="F46" i="13"/>
  <c r="M46" i="13"/>
  <c r="L46" i="13"/>
  <c r="K46" i="13"/>
  <c r="I46" i="13"/>
  <c r="H46" i="13"/>
  <c r="G46" i="13"/>
  <c r="E46" i="13"/>
  <c r="D46" i="13"/>
  <c r="C46" i="13"/>
  <c r="M45" i="13"/>
  <c r="L45" i="13"/>
  <c r="K45" i="13"/>
  <c r="I45" i="13"/>
  <c r="H45" i="13"/>
  <c r="G45" i="13"/>
  <c r="E45" i="13"/>
  <c r="C44" i="13"/>
  <c r="S21" i="16" l="1"/>
  <c r="S25" i="16"/>
  <c r="S39" i="16" s="1"/>
  <c r="S23" i="16"/>
  <c r="S38" i="16" s="1"/>
  <c r="S22" i="16"/>
  <c r="S24" i="16"/>
  <c r="D30" i="15"/>
  <c r="E30" i="15" s="1"/>
  <c r="F30" i="15" s="1"/>
  <c r="G30" i="15" s="1"/>
  <c r="H30" i="15" s="1"/>
  <c r="I30" i="15" s="1"/>
  <c r="J30" i="15" s="1"/>
  <c r="K30" i="15" s="1"/>
  <c r="L30" i="15" s="1"/>
  <c r="M30" i="15" s="1"/>
  <c r="O27" i="15"/>
  <c r="O29" i="15" s="1"/>
  <c r="O25" i="15"/>
  <c r="O19" i="15"/>
  <c r="M25" i="14"/>
  <c r="M27" i="14"/>
  <c r="M29" i="14" s="1"/>
  <c r="M30" i="14" s="1"/>
  <c r="K25" i="14"/>
  <c r="K27" i="14"/>
  <c r="K29" i="14" s="1"/>
  <c r="S1" i="13"/>
  <c r="N21" i="13"/>
  <c r="M21" i="13"/>
  <c r="L21" i="13"/>
  <c r="N20" i="13"/>
  <c r="M20" i="13"/>
  <c r="M19" i="13" l="1"/>
  <c r="J10" i="14" l="1"/>
  <c r="I10" i="14"/>
  <c r="J19" i="14"/>
  <c r="J20" i="14" s="1"/>
  <c r="J14" i="14"/>
  <c r="J9" i="14"/>
  <c r="J12" i="14" s="1"/>
  <c r="J5" i="14"/>
  <c r="J6" i="14" l="1"/>
  <c r="J27" i="14"/>
  <c r="J29" i="14" s="1"/>
  <c r="J25" i="14"/>
  <c r="M3" i="13"/>
  <c r="L3" i="13"/>
  <c r="K3" i="13"/>
  <c r="I3" i="13"/>
  <c r="H3" i="13"/>
  <c r="G3" i="13"/>
  <c r="E3" i="13"/>
  <c r="D3" i="13"/>
  <c r="C3" i="13"/>
  <c r="I19" i="14" l="1"/>
  <c r="I20" i="14" l="1"/>
  <c r="I14" i="14"/>
  <c r="I9" i="14"/>
  <c r="I12" i="14" s="1"/>
  <c r="I6" i="14"/>
  <c r="I5" i="14"/>
  <c r="K21" i="13"/>
  <c r="H19" i="14"/>
  <c r="H20" i="14" s="1"/>
  <c r="H14" i="14"/>
  <c r="H10" i="14"/>
  <c r="H9" i="14"/>
  <c r="H12" i="14" s="1"/>
  <c r="H5" i="14"/>
  <c r="J21" i="13"/>
  <c r="I21" i="13"/>
  <c r="H21" i="13"/>
  <c r="G21" i="13"/>
  <c r="F21" i="13"/>
  <c r="E21" i="13"/>
  <c r="D21" i="13"/>
  <c r="I20" i="13"/>
  <c r="I19" i="13"/>
  <c r="G19" i="14"/>
  <c r="G20" i="14" s="1"/>
  <c r="G14" i="14"/>
  <c r="G10" i="14"/>
  <c r="F10" i="14"/>
  <c r="E10" i="14"/>
  <c r="D10" i="14"/>
  <c r="C10" i="14"/>
  <c r="B10" i="14"/>
  <c r="G9" i="14"/>
  <c r="F9" i="14"/>
  <c r="E9" i="14"/>
  <c r="D9" i="14"/>
  <c r="C9" i="14"/>
  <c r="B9" i="14"/>
  <c r="G6" i="14"/>
  <c r="G5" i="14"/>
  <c r="I25" i="14" l="1"/>
  <c r="I27" i="14"/>
  <c r="I29" i="14" s="1"/>
  <c r="H6" i="14"/>
  <c r="G12" i="14"/>
  <c r="H27" i="14"/>
  <c r="H29" i="14" s="1"/>
  <c r="H25" i="14"/>
  <c r="G27" i="14"/>
  <c r="G29" i="14" s="1"/>
  <c r="G25" i="14"/>
  <c r="J20" i="13"/>
  <c r="N19" i="13"/>
  <c r="J19" i="13"/>
  <c r="T20" i="14"/>
  <c r="T9" i="14"/>
  <c r="E7" i="14"/>
  <c r="D7" i="14"/>
  <c r="C7" i="14"/>
  <c r="B7" i="14"/>
  <c r="O7" i="14" l="1"/>
  <c r="F19" i="14"/>
  <c r="C5" i="14" l="1"/>
  <c r="D5" i="14"/>
  <c r="E5" i="14"/>
  <c r="F5" i="14"/>
  <c r="E6" i="14"/>
  <c r="F6" i="14"/>
  <c r="B5" i="14"/>
  <c r="F12" i="14"/>
  <c r="F14" i="14"/>
  <c r="F20" i="14"/>
  <c r="O23" i="14"/>
  <c r="O22" i="14"/>
  <c r="U21" i="14"/>
  <c r="O21" i="14"/>
  <c r="E19" i="14"/>
  <c r="E20" i="14" s="1"/>
  <c r="E25" i="14" s="1"/>
  <c r="D19" i="14"/>
  <c r="D20" i="14" s="1"/>
  <c r="D25" i="14" s="1"/>
  <c r="C19" i="14"/>
  <c r="C20" i="14" s="1"/>
  <c r="B19" i="14"/>
  <c r="B20" i="14" s="1"/>
  <c r="O18" i="14"/>
  <c r="S9" i="14" s="1"/>
  <c r="S20" i="14" s="1"/>
  <c r="U20" i="14" s="1"/>
  <c r="E14" i="14"/>
  <c r="U10" i="14"/>
  <c r="O10" i="14"/>
  <c r="O9" i="14"/>
  <c r="O8" i="14"/>
  <c r="E12" i="14"/>
  <c r="D14" i="14"/>
  <c r="C14" i="14"/>
  <c r="B14" i="14"/>
  <c r="E20" i="13"/>
  <c r="D20" i="13"/>
  <c r="C20" i="13"/>
  <c r="D19" i="13"/>
  <c r="E19" i="13"/>
  <c r="C19" i="13"/>
  <c r="D45" i="13"/>
  <c r="C45" i="13"/>
  <c r="I44" i="13"/>
  <c r="H44" i="13"/>
  <c r="G44" i="13"/>
  <c r="E44" i="13"/>
  <c r="D44" i="13"/>
  <c r="F44" i="13"/>
  <c r="Q44" i="13"/>
  <c r="O44" i="13"/>
  <c r="M44" i="13"/>
  <c r="L44" i="13"/>
  <c r="K44" i="13"/>
  <c r="R43" i="13"/>
  <c r="N43" i="13"/>
  <c r="J43" i="13"/>
  <c r="F43" i="13"/>
  <c r="C45" i="12"/>
  <c r="D45" i="12"/>
  <c r="E45" i="12"/>
  <c r="G45" i="12"/>
  <c r="G44" i="12" s="1"/>
  <c r="H45" i="12"/>
  <c r="I45" i="12"/>
  <c r="K45" i="12"/>
  <c r="L45" i="12"/>
  <c r="L44" i="12" s="1"/>
  <c r="M45" i="12"/>
  <c r="M44" i="12" s="1"/>
  <c r="O45" i="12"/>
  <c r="P45" i="12"/>
  <c r="Q45" i="12"/>
  <c r="Q44" i="12"/>
  <c r="P44" i="12"/>
  <c r="O44" i="12"/>
  <c r="K44" i="12"/>
  <c r="I44" i="12"/>
  <c r="H44" i="12"/>
  <c r="E44" i="12"/>
  <c r="N44" i="13" l="1"/>
  <c r="B6" i="14"/>
  <c r="D6" i="14"/>
  <c r="C6" i="14"/>
  <c r="F25" i="14"/>
  <c r="F27" i="14"/>
  <c r="F29" i="14" s="1"/>
  <c r="O5" i="14"/>
  <c r="V20" i="14"/>
  <c r="U24" i="14"/>
  <c r="B27" i="14"/>
  <c r="B29" i="14" s="1"/>
  <c r="B30" i="14" s="1"/>
  <c r="B25" i="14"/>
  <c r="O20" i="14"/>
  <c r="C27" i="14"/>
  <c r="C29" i="14" s="1"/>
  <c r="C25" i="14"/>
  <c r="U9" i="14"/>
  <c r="V21" i="14"/>
  <c r="U23" i="14"/>
  <c r="U12" i="14"/>
  <c r="D27" i="14"/>
  <c r="D29" i="14" s="1"/>
  <c r="V10" i="14"/>
  <c r="E27" i="14"/>
  <c r="E29" i="14" s="1"/>
  <c r="B12" i="14"/>
  <c r="C12" i="14"/>
  <c r="D12" i="14"/>
  <c r="J44" i="13"/>
  <c r="J45" i="13" s="1"/>
  <c r="N45" i="13"/>
  <c r="R44" i="13"/>
  <c r="R45" i="13" s="1"/>
  <c r="S43" i="13"/>
  <c r="F45" i="13"/>
  <c r="R44" i="12"/>
  <c r="N44" i="12"/>
  <c r="J44" i="12"/>
  <c r="R43" i="12"/>
  <c r="N43" i="12"/>
  <c r="J43" i="12"/>
  <c r="F43" i="12"/>
  <c r="J20" i="12"/>
  <c r="F20" i="12"/>
  <c r="R19" i="12"/>
  <c r="N19" i="12"/>
  <c r="J19" i="12"/>
  <c r="O6" i="14" l="1"/>
  <c r="U25" i="14"/>
  <c r="U26" i="14" s="1"/>
  <c r="V9" i="14"/>
  <c r="U13" i="14"/>
  <c r="U14" i="14" s="1"/>
  <c r="U15" i="14" s="1"/>
  <c r="O12" i="14"/>
  <c r="O14" i="14"/>
  <c r="O19" i="14"/>
  <c r="O25" i="14"/>
  <c r="O27" i="14"/>
  <c r="C30" i="14"/>
  <c r="D30" i="14" s="1"/>
  <c r="E30" i="14" s="1"/>
  <c r="F30" i="14" s="1"/>
  <c r="G30" i="14" s="1"/>
  <c r="H30" i="14" s="1"/>
  <c r="I30" i="14" s="1"/>
  <c r="J30" i="14" s="1"/>
  <c r="K30" i="14" s="1"/>
  <c r="L30" i="14" s="1"/>
  <c r="S44" i="13"/>
  <c r="R45" i="12"/>
  <c r="N45" i="12"/>
  <c r="S43" i="12"/>
  <c r="J45" i="12"/>
  <c r="C21" i="13"/>
  <c r="F20" i="13"/>
  <c r="F19" i="13"/>
  <c r="S45" i="13" l="1"/>
  <c r="O29" i="14"/>
  <c r="Q35" i="13"/>
  <c r="P35" i="13"/>
  <c r="O35" i="13"/>
  <c r="M35" i="13"/>
  <c r="L35" i="13"/>
  <c r="K35" i="13"/>
  <c r="I35" i="13"/>
  <c r="H35" i="13"/>
  <c r="G35" i="13"/>
  <c r="E35" i="13"/>
  <c r="D35" i="13"/>
  <c r="C35" i="13"/>
  <c r="Q34" i="13"/>
  <c r="P34" i="13"/>
  <c r="O34" i="13"/>
  <c r="M34" i="13"/>
  <c r="L34" i="13"/>
  <c r="K34" i="13"/>
  <c r="I34" i="13"/>
  <c r="H34" i="13"/>
  <c r="G34" i="13"/>
  <c r="E34" i="13"/>
  <c r="D34" i="13"/>
  <c r="C34" i="13"/>
  <c r="Q33" i="13"/>
  <c r="P33" i="13"/>
  <c r="O33" i="13"/>
  <c r="M33" i="13"/>
  <c r="L33" i="13"/>
  <c r="K33" i="13"/>
  <c r="I33" i="13"/>
  <c r="H33" i="13"/>
  <c r="G33" i="13"/>
  <c r="E33" i="13"/>
  <c r="D33" i="13"/>
  <c r="C33" i="13"/>
  <c r="Q32" i="13"/>
  <c r="P32" i="13"/>
  <c r="O32" i="13"/>
  <c r="M32" i="13"/>
  <c r="L32" i="13"/>
  <c r="K32" i="13"/>
  <c r="I32" i="13"/>
  <c r="H32" i="13"/>
  <c r="G32" i="13"/>
  <c r="E32" i="13"/>
  <c r="D32" i="13"/>
  <c r="C32" i="13"/>
  <c r="Q30" i="13"/>
  <c r="P30" i="13"/>
  <c r="O30" i="13"/>
  <c r="M30" i="13"/>
  <c r="L30" i="13"/>
  <c r="K30" i="13"/>
  <c r="I30" i="13"/>
  <c r="H30" i="13"/>
  <c r="G30" i="13"/>
  <c r="E30" i="13"/>
  <c r="D30" i="13"/>
  <c r="C30" i="13"/>
  <c r="R29" i="13"/>
  <c r="R46" i="13" s="1"/>
  <c r="N29" i="13"/>
  <c r="J29" i="13"/>
  <c r="F29" i="13"/>
  <c r="R28" i="13"/>
  <c r="N28" i="13"/>
  <c r="J28" i="13"/>
  <c r="F28" i="13"/>
  <c r="E25" i="13"/>
  <c r="D25" i="13"/>
  <c r="C25" i="13"/>
  <c r="M24" i="13"/>
  <c r="L24" i="13"/>
  <c r="K24" i="13"/>
  <c r="I24" i="13"/>
  <c r="H24" i="13"/>
  <c r="G24" i="13"/>
  <c r="E24" i="13"/>
  <c r="D24" i="13"/>
  <c r="C24" i="13"/>
  <c r="J23" i="13"/>
  <c r="H23" i="13"/>
  <c r="G23" i="13"/>
  <c r="E23" i="13"/>
  <c r="D23" i="13"/>
  <c r="C23" i="13"/>
  <c r="M22" i="13"/>
  <c r="L22" i="13"/>
  <c r="K22" i="13"/>
  <c r="I22" i="13"/>
  <c r="E22" i="13"/>
  <c r="D22" i="13"/>
  <c r="C22" i="13"/>
  <c r="L25" i="13"/>
  <c r="H25" i="13"/>
  <c r="G25" i="13"/>
  <c r="S19" i="13"/>
  <c r="Q22" i="13"/>
  <c r="H22" i="13"/>
  <c r="G22" i="13"/>
  <c r="Q16" i="13"/>
  <c r="P16" i="13"/>
  <c r="O16" i="13"/>
  <c r="M16" i="13"/>
  <c r="L16" i="13"/>
  <c r="K16" i="13"/>
  <c r="I16" i="13"/>
  <c r="H16" i="13"/>
  <c r="G16" i="13"/>
  <c r="E16" i="13"/>
  <c r="D16" i="13"/>
  <c r="C16" i="13"/>
  <c r="Q15" i="13"/>
  <c r="P15" i="13"/>
  <c r="O15" i="13"/>
  <c r="M15" i="13"/>
  <c r="L15" i="13"/>
  <c r="K15" i="13"/>
  <c r="I15" i="13"/>
  <c r="H15" i="13"/>
  <c r="G15" i="13"/>
  <c r="E15" i="13"/>
  <c r="D15" i="13"/>
  <c r="C15" i="13"/>
  <c r="Q14" i="13"/>
  <c r="P14" i="13"/>
  <c r="O14" i="13"/>
  <c r="M14" i="13"/>
  <c r="L14" i="13"/>
  <c r="K14" i="13"/>
  <c r="I14" i="13"/>
  <c r="H14" i="13"/>
  <c r="G14" i="13"/>
  <c r="E14" i="13"/>
  <c r="D14" i="13"/>
  <c r="C14" i="13"/>
  <c r="Q13" i="13"/>
  <c r="P13" i="13"/>
  <c r="O13" i="13"/>
  <c r="M13" i="13"/>
  <c r="L13" i="13"/>
  <c r="K13" i="13"/>
  <c r="I13" i="13"/>
  <c r="H13" i="13"/>
  <c r="G13" i="13"/>
  <c r="E13" i="13"/>
  <c r="D13" i="13"/>
  <c r="C13" i="13"/>
  <c r="Q11" i="13"/>
  <c r="P11" i="13"/>
  <c r="O11" i="13"/>
  <c r="M11" i="13"/>
  <c r="L11" i="13"/>
  <c r="K11" i="13"/>
  <c r="I11" i="13"/>
  <c r="H11" i="13"/>
  <c r="G11" i="13"/>
  <c r="E11" i="13"/>
  <c r="D11" i="13"/>
  <c r="C11" i="13"/>
  <c r="R10" i="13"/>
  <c r="N10" i="13"/>
  <c r="J10" i="13"/>
  <c r="F10" i="13"/>
  <c r="R9" i="13"/>
  <c r="N9" i="13"/>
  <c r="J9" i="13"/>
  <c r="F9" i="13"/>
  <c r="R5" i="13"/>
  <c r="N5" i="13"/>
  <c r="N25" i="13" s="1"/>
  <c r="J5" i="13"/>
  <c r="F5" i="13"/>
  <c r="R4" i="13"/>
  <c r="N4" i="13"/>
  <c r="N22" i="13" s="1"/>
  <c r="J4" i="13"/>
  <c r="J22" i="13" s="1"/>
  <c r="F4" i="13"/>
  <c r="R35" i="13" l="1"/>
  <c r="R30" i="13"/>
  <c r="H38" i="13"/>
  <c r="G38" i="13"/>
  <c r="J13" i="13"/>
  <c r="F30" i="13"/>
  <c r="F33" i="13"/>
  <c r="E38" i="13"/>
  <c r="J32" i="13"/>
  <c r="N30" i="13"/>
  <c r="J33" i="13"/>
  <c r="R16" i="13"/>
  <c r="F22" i="13"/>
  <c r="F13" i="13"/>
  <c r="D38" i="13"/>
  <c r="C39" i="13"/>
  <c r="L23" i="13"/>
  <c r="L38" i="13" s="1"/>
  <c r="F14" i="13"/>
  <c r="C38" i="13"/>
  <c r="S29" i="13"/>
  <c r="R33" i="13"/>
  <c r="J30" i="13"/>
  <c r="J35" i="13"/>
  <c r="F35" i="13"/>
  <c r="J11" i="13"/>
  <c r="R22" i="13"/>
  <c r="R32" i="13"/>
  <c r="R13" i="13"/>
  <c r="R23" i="13"/>
  <c r="N23" i="13"/>
  <c r="N33" i="13"/>
  <c r="N13" i="13"/>
  <c r="L39" i="13"/>
  <c r="N24" i="13"/>
  <c r="N16" i="13"/>
  <c r="H39" i="13"/>
  <c r="J34" i="13"/>
  <c r="G39" i="13"/>
  <c r="F15" i="13"/>
  <c r="E39" i="13"/>
  <c r="D39" i="13"/>
  <c r="F23" i="13"/>
  <c r="S4" i="13"/>
  <c r="M25" i="13"/>
  <c r="M39" i="13" s="1"/>
  <c r="M23" i="13"/>
  <c r="M38" i="13" s="1"/>
  <c r="S10" i="13"/>
  <c r="Q24" i="13"/>
  <c r="R24" i="13"/>
  <c r="N32" i="13"/>
  <c r="F11" i="13"/>
  <c r="S28" i="13"/>
  <c r="F34" i="13"/>
  <c r="R34" i="13"/>
  <c r="N35" i="13"/>
  <c r="N14" i="13"/>
  <c r="N38" i="13" s="1"/>
  <c r="F16" i="13"/>
  <c r="N34" i="13"/>
  <c r="S5" i="13"/>
  <c r="R14" i="13"/>
  <c r="N15" i="13"/>
  <c r="R11" i="13"/>
  <c r="J16" i="13"/>
  <c r="J14" i="13"/>
  <c r="J24" i="13"/>
  <c r="F32" i="13"/>
  <c r="J25" i="13"/>
  <c r="N11" i="13"/>
  <c r="F24" i="13"/>
  <c r="R15" i="13"/>
  <c r="J15" i="13"/>
  <c r="S20" i="13"/>
  <c r="S21" i="13" s="1"/>
  <c r="S9" i="13"/>
  <c r="F25" i="13"/>
  <c r="R25" i="13"/>
  <c r="Q35" i="9"/>
  <c r="Q34" i="9"/>
  <c r="Q33" i="9"/>
  <c r="Q32" i="9"/>
  <c r="Q30" i="9"/>
  <c r="Q38" i="9"/>
  <c r="Q39" i="9"/>
  <c r="Q18" i="9"/>
  <c r="Q16" i="9"/>
  <c r="Q15" i="9"/>
  <c r="Q14" i="9"/>
  <c r="Q13" i="9"/>
  <c r="Q11" i="9"/>
  <c r="R38" i="13" l="1"/>
  <c r="S3" i="13"/>
  <c r="S46" i="13"/>
  <c r="R39" i="13"/>
  <c r="J38" i="13"/>
  <c r="F38" i="13"/>
  <c r="S35" i="13"/>
  <c r="S33" i="13"/>
  <c r="N39" i="13"/>
  <c r="F39" i="13"/>
  <c r="S22" i="13"/>
  <c r="P24" i="13"/>
  <c r="P22" i="13"/>
  <c r="O24" i="13"/>
  <c r="O22" i="13"/>
  <c r="S15" i="13"/>
  <c r="S13" i="13"/>
  <c r="Q23" i="13"/>
  <c r="Q38" i="13" s="1"/>
  <c r="Q25" i="13"/>
  <c r="Q39" i="13" s="1"/>
  <c r="I25" i="13"/>
  <c r="I39" i="13" s="1"/>
  <c r="I23" i="13"/>
  <c r="I38" i="13" s="1"/>
  <c r="J39" i="13"/>
  <c r="S24" i="13"/>
  <c r="K25" i="13"/>
  <c r="K39" i="13" s="1"/>
  <c r="K23" i="13"/>
  <c r="K38" i="13" s="1"/>
  <c r="S14" i="13"/>
  <c r="S11" i="13"/>
  <c r="S16" i="13"/>
  <c r="S25" i="13"/>
  <c r="S23" i="13"/>
  <c r="S32" i="13"/>
  <c r="S30" i="13"/>
  <c r="S34" i="13"/>
  <c r="S39" i="13" l="1"/>
  <c r="S38" i="13"/>
  <c r="O23" i="13"/>
  <c r="O38" i="13" s="1"/>
  <c r="O25" i="13"/>
  <c r="O39" i="13" s="1"/>
  <c r="P23" i="13"/>
  <c r="P38" i="13" s="1"/>
  <c r="P25" i="13"/>
  <c r="P39" i="13" s="1"/>
  <c r="N20" i="12" l="1"/>
  <c r="M26" i="9" l="1"/>
  <c r="L26" i="9"/>
  <c r="K26" i="9"/>
  <c r="M18" i="9"/>
  <c r="L18" i="9"/>
  <c r="K18" i="9"/>
  <c r="I18" i="9"/>
  <c r="H18" i="9" l="1"/>
  <c r="G18" i="9" l="1"/>
  <c r="Q35" i="12" l="1"/>
  <c r="P35" i="12"/>
  <c r="O35" i="12"/>
  <c r="M35" i="12"/>
  <c r="L35" i="12"/>
  <c r="K35" i="12"/>
  <c r="I35" i="12"/>
  <c r="H35" i="12"/>
  <c r="G35" i="12"/>
  <c r="E35" i="12"/>
  <c r="D35" i="12"/>
  <c r="C35" i="12"/>
  <c r="Q34" i="12"/>
  <c r="P34" i="12"/>
  <c r="M34" i="12"/>
  <c r="Q33" i="12"/>
  <c r="P33" i="12"/>
  <c r="O33" i="12"/>
  <c r="M33" i="12"/>
  <c r="L33" i="12"/>
  <c r="K33" i="12"/>
  <c r="I33" i="12"/>
  <c r="H33" i="12"/>
  <c r="G33" i="12"/>
  <c r="E33" i="12"/>
  <c r="D33" i="12"/>
  <c r="C33" i="12"/>
  <c r="Q32" i="12"/>
  <c r="P32" i="12"/>
  <c r="K32" i="12"/>
  <c r="Q30" i="12"/>
  <c r="P30" i="12"/>
  <c r="R29" i="12"/>
  <c r="N29" i="12"/>
  <c r="J29" i="12"/>
  <c r="F29" i="12"/>
  <c r="M30" i="12"/>
  <c r="L34" i="12"/>
  <c r="K30" i="12"/>
  <c r="S20" i="12"/>
  <c r="S19" i="12"/>
  <c r="Q16" i="12"/>
  <c r="P16" i="12"/>
  <c r="O16" i="12"/>
  <c r="M16" i="12"/>
  <c r="L16" i="12"/>
  <c r="K16" i="12"/>
  <c r="I16" i="12"/>
  <c r="H16" i="12"/>
  <c r="G16" i="12"/>
  <c r="E16" i="12"/>
  <c r="D16" i="12"/>
  <c r="C16" i="12"/>
  <c r="Q15" i="12"/>
  <c r="P15" i="12"/>
  <c r="O15" i="12"/>
  <c r="M15" i="12"/>
  <c r="L15" i="12"/>
  <c r="K15" i="12"/>
  <c r="H15" i="12"/>
  <c r="G15" i="12"/>
  <c r="E15" i="12"/>
  <c r="D15" i="12"/>
  <c r="C15" i="12"/>
  <c r="Q14" i="12"/>
  <c r="P14" i="12"/>
  <c r="O14" i="12"/>
  <c r="M14" i="12"/>
  <c r="L14" i="12"/>
  <c r="K14" i="12"/>
  <c r="I14" i="12"/>
  <c r="H14" i="12"/>
  <c r="G14" i="12"/>
  <c r="E14" i="12"/>
  <c r="D14" i="12"/>
  <c r="C14" i="12"/>
  <c r="Q13" i="12"/>
  <c r="P13" i="12"/>
  <c r="O13" i="12"/>
  <c r="M13" i="12"/>
  <c r="L13" i="12"/>
  <c r="K13" i="12"/>
  <c r="I13" i="12"/>
  <c r="H13" i="12"/>
  <c r="G13" i="12"/>
  <c r="E13" i="12"/>
  <c r="D13" i="12"/>
  <c r="C13" i="12"/>
  <c r="Q11" i="12"/>
  <c r="P11" i="12"/>
  <c r="O11" i="12"/>
  <c r="M11" i="12"/>
  <c r="L11" i="12"/>
  <c r="K11" i="12"/>
  <c r="I11" i="12"/>
  <c r="H11" i="12"/>
  <c r="G11" i="12"/>
  <c r="E11" i="12"/>
  <c r="D11" i="12"/>
  <c r="C11" i="12"/>
  <c r="R10" i="12"/>
  <c r="N10" i="12"/>
  <c r="J10" i="12"/>
  <c r="F10" i="12"/>
  <c r="R9" i="12"/>
  <c r="R13" i="12" s="1"/>
  <c r="N9" i="12"/>
  <c r="J9" i="12"/>
  <c r="F9" i="12"/>
  <c r="R5" i="12"/>
  <c r="N5" i="12"/>
  <c r="J5" i="12"/>
  <c r="I15" i="12"/>
  <c r="F5" i="12"/>
  <c r="R4" i="12"/>
  <c r="N4" i="12"/>
  <c r="N22" i="12" s="1"/>
  <c r="J4" i="12"/>
  <c r="F4" i="12"/>
  <c r="R20" i="9"/>
  <c r="Q11" i="7"/>
  <c r="Q13" i="7"/>
  <c r="Q14" i="7"/>
  <c r="Q15" i="7"/>
  <c r="Q16" i="7"/>
  <c r="Q39" i="7" s="1"/>
  <c r="Q28" i="7"/>
  <c r="Q30" i="7"/>
  <c r="Q32" i="7"/>
  <c r="Q33" i="7"/>
  <c r="Q34" i="7"/>
  <c r="Q35" i="7"/>
  <c r="Q38" i="7"/>
  <c r="Q44" i="7"/>
  <c r="F25" i="12" l="1"/>
  <c r="E19" i="12"/>
  <c r="D19" i="12"/>
  <c r="C19" i="12"/>
  <c r="E18" i="12"/>
  <c r="D18" i="12"/>
  <c r="C18" i="12"/>
  <c r="J24" i="12"/>
  <c r="G19" i="12"/>
  <c r="I19" i="12"/>
  <c r="H19" i="12"/>
  <c r="N25" i="12"/>
  <c r="L19" i="12"/>
  <c r="K19" i="12"/>
  <c r="M19" i="12"/>
  <c r="P19" i="12"/>
  <c r="O19" i="12"/>
  <c r="Q19" i="12"/>
  <c r="R33" i="12"/>
  <c r="R11" i="12"/>
  <c r="R22" i="12"/>
  <c r="F14" i="12"/>
  <c r="R35" i="12"/>
  <c r="S29" i="12"/>
  <c r="K34" i="12"/>
  <c r="G32" i="12"/>
  <c r="J28" i="12"/>
  <c r="J34" i="12" s="1"/>
  <c r="I30" i="12"/>
  <c r="I34" i="12"/>
  <c r="I32" i="12"/>
  <c r="H32" i="12"/>
  <c r="H34" i="12"/>
  <c r="N11" i="12"/>
  <c r="N15" i="12"/>
  <c r="R25" i="12"/>
  <c r="R24" i="12"/>
  <c r="R16" i="12"/>
  <c r="R14" i="12"/>
  <c r="N24" i="12"/>
  <c r="N14" i="12"/>
  <c r="N33" i="12"/>
  <c r="J16" i="12"/>
  <c r="J13" i="12"/>
  <c r="F24" i="12"/>
  <c r="S5" i="12"/>
  <c r="F35" i="12"/>
  <c r="F16" i="12"/>
  <c r="D26" i="12"/>
  <c r="C26" i="12"/>
  <c r="E26" i="12"/>
  <c r="F13" i="12"/>
  <c r="F15" i="12"/>
  <c r="S9" i="12"/>
  <c r="F11" i="12"/>
  <c r="E32" i="12"/>
  <c r="E34" i="12"/>
  <c r="E30" i="12"/>
  <c r="F22" i="12"/>
  <c r="S4" i="12"/>
  <c r="F33" i="12"/>
  <c r="F23" i="12"/>
  <c r="O30" i="12"/>
  <c r="O32" i="12"/>
  <c r="R28" i="12"/>
  <c r="O34" i="12"/>
  <c r="C30" i="12"/>
  <c r="F28" i="12"/>
  <c r="C32" i="12"/>
  <c r="C34" i="12"/>
  <c r="D32" i="12"/>
  <c r="D34" i="12"/>
  <c r="D30" i="12"/>
  <c r="N13" i="12"/>
  <c r="L32" i="12"/>
  <c r="J14" i="12"/>
  <c r="N23" i="12"/>
  <c r="N38" i="12" s="1"/>
  <c r="N28" i="12"/>
  <c r="M32" i="12"/>
  <c r="J35" i="12"/>
  <c r="R15" i="12"/>
  <c r="R23" i="12"/>
  <c r="G30" i="12"/>
  <c r="J11" i="12"/>
  <c r="N16" i="12"/>
  <c r="H30" i="12"/>
  <c r="J33" i="12"/>
  <c r="J22" i="12"/>
  <c r="J25" i="12"/>
  <c r="G34" i="12"/>
  <c r="N35" i="12"/>
  <c r="J23" i="12"/>
  <c r="J15" i="12"/>
  <c r="S10" i="12"/>
  <c r="L30" i="12"/>
  <c r="H24" i="12" l="1"/>
  <c r="H22" i="12"/>
  <c r="H20" i="12"/>
  <c r="G20" i="12"/>
  <c r="G24" i="12"/>
  <c r="G22" i="12"/>
  <c r="P20" i="12"/>
  <c r="P24" i="12"/>
  <c r="P22" i="12"/>
  <c r="M24" i="12"/>
  <c r="M20" i="12"/>
  <c r="M22" i="12"/>
  <c r="K20" i="12"/>
  <c r="K22" i="12"/>
  <c r="K24" i="12"/>
  <c r="E22" i="12"/>
  <c r="E24" i="12"/>
  <c r="D20" i="12"/>
  <c r="D22" i="12"/>
  <c r="D24" i="12"/>
  <c r="J30" i="12"/>
  <c r="L20" i="12"/>
  <c r="L24" i="12"/>
  <c r="L22" i="12"/>
  <c r="I24" i="12"/>
  <c r="I22" i="12"/>
  <c r="Q20" i="12"/>
  <c r="Q22" i="12"/>
  <c r="Q24" i="12"/>
  <c r="O20" i="12"/>
  <c r="O24" i="12"/>
  <c r="O22" i="12"/>
  <c r="C20" i="12"/>
  <c r="C24" i="12"/>
  <c r="C22" i="12"/>
  <c r="R39" i="12"/>
  <c r="R38" i="12"/>
  <c r="J38" i="12"/>
  <c r="J32" i="12"/>
  <c r="F39" i="12"/>
  <c r="S35" i="12"/>
  <c r="N39" i="12"/>
  <c r="S24" i="12"/>
  <c r="S25" i="12"/>
  <c r="F38" i="12"/>
  <c r="S16" i="12"/>
  <c r="S11" i="12"/>
  <c r="S14" i="12"/>
  <c r="F32" i="12"/>
  <c r="F34" i="12"/>
  <c r="S28" i="12"/>
  <c r="F30" i="12"/>
  <c r="S33" i="12"/>
  <c r="N34" i="12"/>
  <c r="N32" i="12"/>
  <c r="N30" i="12"/>
  <c r="R32" i="12"/>
  <c r="R34" i="12"/>
  <c r="R30" i="12"/>
  <c r="S22" i="12"/>
  <c r="S13" i="12"/>
  <c r="S15" i="12"/>
  <c r="S23" i="12"/>
  <c r="J39" i="12"/>
  <c r="P35" i="9"/>
  <c r="P33" i="9"/>
  <c r="P38" i="9" s="1"/>
  <c r="P16" i="9"/>
  <c r="P14" i="9"/>
  <c r="R9" i="9"/>
  <c r="O28" i="9"/>
  <c r="M28" i="9"/>
  <c r="O35" i="9"/>
  <c r="O34" i="9"/>
  <c r="O33" i="9"/>
  <c r="O38" i="9" s="1"/>
  <c r="O32" i="9"/>
  <c r="O30" i="9"/>
  <c r="O16" i="9"/>
  <c r="O39" i="9" s="1"/>
  <c r="O15" i="9"/>
  <c r="O14" i="9"/>
  <c r="O13" i="9"/>
  <c r="O11" i="9"/>
  <c r="R47" i="9"/>
  <c r="R46" i="9"/>
  <c r="R45" i="9"/>
  <c r="N47" i="9"/>
  <c r="N46" i="9"/>
  <c r="N45" i="9"/>
  <c r="J47" i="9"/>
  <c r="J46" i="9"/>
  <c r="J45" i="9"/>
  <c r="F47" i="9"/>
  <c r="F46" i="9"/>
  <c r="F45" i="9"/>
  <c r="P44" i="9"/>
  <c r="P34" i="9" s="1"/>
  <c r="O44" i="9"/>
  <c r="R29" i="9"/>
  <c r="R10" i="9"/>
  <c r="R5" i="9"/>
  <c r="R4" i="9"/>
  <c r="R23" i="9" s="1"/>
  <c r="N4" i="7"/>
  <c r="N5" i="7"/>
  <c r="N9" i="7"/>
  <c r="N10" i="7"/>
  <c r="N11" i="7" s="1"/>
  <c r="M11" i="7"/>
  <c r="O11" i="7"/>
  <c r="P11" i="7"/>
  <c r="M13" i="7"/>
  <c r="N13" i="7"/>
  <c r="O13" i="7"/>
  <c r="P13" i="7"/>
  <c r="M14" i="7"/>
  <c r="N14" i="7"/>
  <c r="N38" i="7" s="1"/>
  <c r="O14" i="7"/>
  <c r="P14" i="7"/>
  <c r="M15" i="7"/>
  <c r="N15" i="7"/>
  <c r="O15" i="7"/>
  <c r="P15" i="7"/>
  <c r="M16" i="7"/>
  <c r="O16" i="7"/>
  <c r="P16" i="7"/>
  <c r="P39" i="7" s="1"/>
  <c r="N20" i="7"/>
  <c r="N22" i="7"/>
  <c r="N23" i="7"/>
  <c r="N24" i="7"/>
  <c r="N25" i="7"/>
  <c r="N29" i="7"/>
  <c r="M33" i="7"/>
  <c r="N33" i="7"/>
  <c r="O33" i="7"/>
  <c r="P33" i="7"/>
  <c r="M35" i="7"/>
  <c r="M39" i="7" s="1"/>
  <c r="O35" i="7"/>
  <c r="P35" i="7"/>
  <c r="M38" i="7"/>
  <c r="O38" i="7"/>
  <c r="P38" i="7"/>
  <c r="O39" i="7"/>
  <c r="M44" i="7"/>
  <c r="M28" i="7" s="1"/>
  <c r="N44" i="7"/>
  <c r="O44" i="7"/>
  <c r="O28" i="7" s="1"/>
  <c r="P44" i="7"/>
  <c r="P28" i="7" s="1"/>
  <c r="P25" i="12" l="1"/>
  <c r="P39" i="12" s="1"/>
  <c r="P23" i="12"/>
  <c r="P38" i="12" s="1"/>
  <c r="O25" i="12"/>
  <c r="O39" i="12" s="1"/>
  <c r="O23" i="12"/>
  <c r="O38" i="12" s="1"/>
  <c r="G25" i="12"/>
  <c r="G39" i="12" s="1"/>
  <c r="G23" i="12"/>
  <c r="G38" i="12" s="1"/>
  <c r="Q25" i="12"/>
  <c r="Q39" i="12" s="1"/>
  <c r="Q23" i="12"/>
  <c r="Q38" i="12" s="1"/>
  <c r="I20" i="12"/>
  <c r="H25" i="12"/>
  <c r="H39" i="12" s="1"/>
  <c r="H23" i="12"/>
  <c r="H38" i="12" s="1"/>
  <c r="M25" i="12"/>
  <c r="M39" i="12" s="1"/>
  <c r="M23" i="12"/>
  <c r="M38" i="12" s="1"/>
  <c r="L25" i="12"/>
  <c r="L39" i="12" s="1"/>
  <c r="L23" i="12"/>
  <c r="L38" i="12" s="1"/>
  <c r="E20" i="12"/>
  <c r="C23" i="12"/>
  <c r="C38" i="12" s="1"/>
  <c r="C25" i="12"/>
  <c r="C39" i="12" s="1"/>
  <c r="D25" i="12"/>
  <c r="D39" i="12" s="1"/>
  <c r="D23" i="12"/>
  <c r="D38" i="12" s="1"/>
  <c r="K25" i="12"/>
  <c r="K39" i="12" s="1"/>
  <c r="K23" i="12"/>
  <c r="K38" i="12" s="1"/>
  <c r="R25" i="9"/>
  <c r="P18" i="9"/>
  <c r="O18" i="9"/>
  <c r="S39" i="12"/>
  <c r="S38" i="12"/>
  <c r="S32" i="12"/>
  <c r="S34" i="12"/>
  <c r="S30" i="12"/>
  <c r="P13" i="9"/>
  <c r="P11" i="9"/>
  <c r="P15" i="9"/>
  <c r="P39" i="9"/>
  <c r="S45" i="9"/>
  <c r="R28" i="9"/>
  <c r="R32" i="9" s="1"/>
  <c r="P30" i="9"/>
  <c r="P32" i="9"/>
  <c r="R15" i="9"/>
  <c r="R16" i="9"/>
  <c r="R24" i="9"/>
  <c r="R22" i="9"/>
  <c r="S47" i="9"/>
  <c r="S46" i="9"/>
  <c r="R44" i="9"/>
  <c r="R14" i="9"/>
  <c r="R13" i="9"/>
  <c r="R11" i="9"/>
  <c r="R35" i="9"/>
  <c r="R33" i="9"/>
  <c r="O34" i="7"/>
  <c r="O32" i="7"/>
  <c r="O30" i="7"/>
  <c r="M30" i="7"/>
  <c r="M32" i="7"/>
  <c r="M34" i="7"/>
  <c r="N28" i="7"/>
  <c r="P32" i="7"/>
  <c r="P30" i="7"/>
  <c r="P34" i="7"/>
  <c r="N30" i="7"/>
  <c r="N35" i="7"/>
  <c r="N16" i="7"/>
  <c r="N39" i="7" s="1"/>
  <c r="K28" i="9"/>
  <c r="I26" i="9"/>
  <c r="H26" i="9"/>
  <c r="G26" i="9"/>
  <c r="D26" i="9"/>
  <c r="E26" i="9"/>
  <c r="C26" i="9"/>
  <c r="I5" i="9"/>
  <c r="I25" i="12" l="1"/>
  <c r="I39" i="12" s="1"/>
  <c r="I23" i="12"/>
  <c r="I38" i="12" s="1"/>
  <c r="E25" i="12"/>
  <c r="E39" i="12" s="1"/>
  <c r="E23" i="12"/>
  <c r="E38" i="12" s="1"/>
  <c r="R30" i="9"/>
  <c r="R34" i="9"/>
  <c r="R39" i="9"/>
  <c r="R38" i="9"/>
  <c r="N34" i="7"/>
  <c r="N32" i="7"/>
  <c r="D22" i="9"/>
  <c r="E22" i="9"/>
  <c r="E23" i="9"/>
  <c r="E24" i="9"/>
  <c r="E25" i="9"/>
  <c r="T19" i="7"/>
  <c r="R35" i="6" l="1"/>
  <c r="N44" i="9" l="1"/>
  <c r="S44" i="9" s="1"/>
  <c r="M44" i="9"/>
  <c r="L44" i="9"/>
  <c r="L28" i="9" s="1"/>
  <c r="L32" i="9" s="1"/>
  <c r="K44" i="9"/>
  <c r="J44" i="9"/>
  <c r="I44" i="9"/>
  <c r="I28" i="9" s="1"/>
  <c r="I35" i="9" s="1"/>
  <c r="H44" i="9"/>
  <c r="H28" i="9" s="1"/>
  <c r="H32" i="9" s="1"/>
  <c r="G44" i="9"/>
  <c r="G28" i="9" s="1"/>
  <c r="G34" i="9" s="1"/>
  <c r="F44" i="9"/>
  <c r="E44" i="9"/>
  <c r="E28" i="9" s="1"/>
  <c r="E34" i="9" s="1"/>
  <c r="D44" i="9"/>
  <c r="D28" i="9" s="1"/>
  <c r="D32" i="9" s="1"/>
  <c r="C44" i="9"/>
  <c r="M35" i="9"/>
  <c r="L35" i="9"/>
  <c r="K35" i="9"/>
  <c r="H35" i="9"/>
  <c r="G35" i="9"/>
  <c r="D35" i="9"/>
  <c r="C35" i="9"/>
  <c r="K34" i="9"/>
  <c r="M33" i="9"/>
  <c r="L33" i="9"/>
  <c r="K33" i="9"/>
  <c r="H33" i="9"/>
  <c r="G33" i="9"/>
  <c r="G38" i="9" s="1"/>
  <c r="E33" i="9"/>
  <c r="D33" i="9"/>
  <c r="C33" i="9"/>
  <c r="M32" i="9"/>
  <c r="N29" i="9"/>
  <c r="F29" i="9"/>
  <c r="E35" i="9"/>
  <c r="D25" i="9"/>
  <c r="C25" i="9"/>
  <c r="D24" i="9"/>
  <c r="C24" i="9"/>
  <c r="D23" i="9"/>
  <c r="C23" i="9"/>
  <c r="C22" i="9"/>
  <c r="S19" i="9"/>
  <c r="M16" i="9"/>
  <c r="L16" i="9"/>
  <c r="K16" i="9"/>
  <c r="I16" i="9"/>
  <c r="H16" i="9"/>
  <c r="G16" i="9"/>
  <c r="E16" i="9"/>
  <c r="D16" i="9"/>
  <c r="D39" i="9" s="1"/>
  <c r="C16" i="9"/>
  <c r="M15" i="9"/>
  <c r="L15" i="9"/>
  <c r="K15" i="9"/>
  <c r="I15" i="9"/>
  <c r="H15" i="9"/>
  <c r="G15" i="9"/>
  <c r="E15" i="9"/>
  <c r="D15" i="9"/>
  <c r="C15" i="9"/>
  <c r="M14" i="9"/>
  <c r="L14" i="9"/>
  <c r="L38" i="9" s="1"/>
  <c r="K14" i="9"/>
  <c r="K38" i="9" s="1"/>
  <c r="I14" i="9"/>
  <c r="H14" i="9"/>
  <c r="G14" i="9"/>
  <c r="E14" i="9"/>
  <c r="D14" i="9"/>
  <c r="D38" i="9" s="1"/>
  <c r="C14" i="9"/>
  <c r="M13" i="9"/>
  <c r="L13" i="9"/>
  <c r="K13" i="9"/>
  <c r="I13" i="9"/>
  <c r="H13" i="9"/>
  <c r="G13" i="9"/>
  <c r="E13" i="9"/>
  <c r="D13" i="9"/>
  <c r="C13" i="9"/>
  <c r="M11" i="9"/>
  <c r="L11" i="9"/>
  <c r="K11" i="9"/>
  <c r="I11" i="9"/>
  <c r="H11" i="9"/>
  <c r="G11" i="9"/>
  <c r="E11" i="9"/>
  <c r="D11" i="9"/>
  <c r="C11" i="9"/>
  <c r="N10" i="9"/>
  <c r="J10" i="9"/>
  <c r="F10" i="9"/>
  <c r="N9" i="9"/>
  <c r="J9" i="9"/>
  <c r="F9" i="9"/>
  <c r="N5" i="9"/>
  <c r="J5" i="9"/>
  <c r="J24" i="9" s="1"/>
  <c r="F5" i="9"/>
  <c r="F24" i="9" s="1"/>
  <c r="N4" i="9"/>
  <c r="J4" i="9"/>
  <c r="J23" i="9" s="1"/>
  <c r="F4" i="9"/>
  <c r="R20" i="7"/>
  <c r="M38" i="9" l="1"/>
  <c r="L39" i="9"/>
  <c r="N16" i="9"/>
  <c r="N11" i="9"/>
  <c r="K39" i="9"/>
  <c r="J29" i="9"/>
  <c r="J35" i="9" s="1"/>
  <c r="I33" i="9"/>
  <c r="I38" i="9" s="1"/>
  <c r="H38" i="9"/>
  <c r="J11" i="9"/>
  <c r="E38" i="9"/>
  <c r="F25" i="9"/>
  <c r="F13" i="9"/>
  <c r="C39" i="9"/>
  <c r="C38" i="9"/>
  <c r="I39" i="9"/>
  <c r="G39" i="9"/>
  <c r="M39" i="9"/>
  <c r="N13" i="9"/>
  <c r="H39" i="9"/>
  <c r="N25" i="9"/>
  <c r="N24" i="9"/>
  <c r="N35" i="9"/>
  <c r="N14" i="9"/>
  <c r="N23" i="9"/>
  <c r="N22" i="9"/>
  <c r="N33" i="9"/>
  <c r="J25" i="9"/>
  <c r="J15" i="9"/>
  <c r="J22" i="9"/>
  <c r="J14" i="9"/>
  <c r="E39" i="9"/>
  <c r="H30" i="9"/>
  <c r="L34" i="9"/>
  <c r="L30" i="9"/>
  <c r="H34" i="9"/>
  <c r="D30" i="9"/>
  <c r="D34" i="9"/>
  <c r="F15" i="9"/>
  <c r="F33" i="9"/>
  <c r="F14" i="9"/>
  <c r="F22" i="9"/>
  <c r="S10" i="9"/>
  <c r="J13" i="9"/>
  <c r="N15" i="9"/>
  <c r="J16" i="9"/>
  <c r="E32" i="9"/>
  <c r="F11" i="9"/>
  <c r="M30" i="9"/>
  <c r="M34" i="9"/>
  <c r="F35" i="9"/>
  <c r="F16" i="9"/>
  <c r="F23" i="9"/>
  <c r="S4" i="9"/>
  <c r="S20" i="9"/>
  <c r="I30" i="9"/>
  <c r="I34" i="9"/>
  <c r="I32" i="9"/>
  <c r="C28" i="9"/>
  <c r="G32" i="9"/>
  <c r="G30" i="9"/>
  <c r="J28" i="9"/>
  <c r="K32" i="9"/>
  <c r="K30" i="9"/>
  <c r="N28" i="9"/>
  <c r="S5" i="9"/>
  <c r="S24" i="9" s="1"/>
  <c r="S9" i="9"/>
  <c r="E30" i="9"/>
  <c r="S29" i="9" l="1"/>
  <c r="S33" i="9" s="1"/>
  <c r="J39" i="9"/>
  <c r="J33" i="9"/>
  <c r="J38" i="9"/>
  <c r="F38" i="9"/>
  <c r="N39" i="9"/>
  <c r="F39" i="9"/>
  <c r="N38" i="9"/>
  <c r="J34" i="9"/>
  <c r="J32" i="9"/>
  <c r="J30" i="9"/>
  <c r="N34" i="9"/>
  <c r="N32" i="9"/>
  <c r="N30" i="9"/>
  <c r="S22" i="9"/>
  <c r="S14" i="9"/>
  <c r="S16" i="9"/>
  <c r="S11" i="9"/>
  <c r="S13" i="9"/>
  <c r="S15" i="9"/>
  <c r="C32" i="9"/>
  <c r="C30" i="9"/>
  <c r="F28" i="9"/>
  <c r="C34" i="9"/>
  <c r="S23" i="9"/>
  <c r="S25" i="9"/>
  <c r="K44" i="7"/>
  <c r="K28" i="7" s="1"/>
  <c r="K34" i="7" s="1"/>
  <c r="G45" i="7"/>
  <c r="E29" i="7"/>
  <c r="E33" i="7" s="1"/>
  <c r="E48" i="7"/>
  <c r="E44" i="7" s="1"/>
  <c r="E28" i="7" s="1"/>
  <c r="R44" i="7"/>
  <c r="J44" i="7"/>
  <c r="I44" i="7"/>
  <c r="I28" i="7" s="1"/>
  <c r="H44" i="7"/>
  <c r="H28" i="7" s="1"/>
  <c r="G44" i="7"/>
  <c r="G28" i="7" s="1"/>
  <c r="G34" i="7" s="1"/>
  <c r="F44" i="7"/>
  <c r="D44" i="7"/>
  <c r="D28" i="7" s="1"/>
  <c r="C44" i="7"/>
  <c r="C28" i="7" s="1"/>
  <c r="C34" i="7" s="1"/>
  <c r="L35" i="7"/>
  <c r="K35" i="7"/>
  <c r="I35" i="7"/>
  <c r="H35" i="7"/>
  <c r="G35" i="7"/>
  <c r="E35" i="7"/>
  <c r="D35" i="7"/>
  <c r="C35" i="7"/>
  <c r="K33" i="7"/>
  <c r="I33" i="7"/>
  <c r="H33" i="7"/>
  <c r="G33" i="7"/>
  <c r="D33" i="7"/>
  <c r="C33" i="7"/>
  <c r="R29" i="7"/>
  <c r="L33" i="7"/>
  <c r="J29" i="7"/>
  <c r="F29" i="7"/>
  <c r="D25" i="7"/>
  <c r="C25" i="7"/>
  <c r="D24" i="7"/>
  <c r="C24" i="7"/>
  <c r="D23" i="7"/>
  <c r="C23" i="7"/>
  <c r="D22" i="7"/>
  <c r="C22" i="7"/>
  <c r="S20" i="7"/>
  <c r="S19" i="7"/>
  <c r="L16" i="7"/>
  <c r="K16" i="7"/>
  <c r="I16" i="7"/>
  <c r="H16" i="7"/>
  <c r="G16" i="7"/>
  <c r="E16" i="7"/>
  <c r="D16" i="7"/>
  <c r="C16" i="7"/>
  <c r="L15" i="7"/>
  <c r="K15" i="7"/>
  <c r="I15" i="7"/>
  <c r="H15" i="7"/>
  <c r="G15" i="7"/>
  <c r="E15" i="7"/>
  <c r="D15" i="7"/>
  <c r="C15" i="7"/>
  <c r="L14" i="7"/>
  <c r="K14" i="7"/>
  <c r="I14" i="7"/>
  <c r="H14" i="7"/>
  <c r="G14" i="7"/>
  <c r="G38" i="7" s="1"/>
  <c r="E14" i="7"/>
  <c r="D14" i="7"/>
  <c r="C14" i="7"/>
  <c r="L13" i="7"/>
  <c r="K13" i="7"/>
  <c r="I13" i="7"/>
  <c r="H13" i="7"/>
  <c r="G13" i="7"/>
  <c r="E13" i="7"/>
  <c r="C13" i="7"/>
  <c r="L11" i="7"/>
  <c r="K11" i="7"/>
  <c r="I11" i="7"/>
  <c r="H11" i="7"/>
  <c r="G11" i="7"/>
  <c r="E11" i="7"/>
  <c r="C11" i="7"/>
  <c r="R10" i="7"/>
  <c r="J10" i="7"/>
  <c r="F10" i="7"/>
  <c r="R9" i="7"/>
  <c r="J9" i="7"/>
  <c r="F9" i="7"/>
  <c r="D13" i="7"/>
  <c r="R5" i="7"/>
  <c r="R24" i="7" s="1"/>
  <c r="J5" i="7"/>
  <c r="J24" i="7" s="1"/>
  <c r="F5" i="7"/>
  <c r="F25" i="7" s="1"/>
  <c r="R4" i="7"/>
  <c r="R23" i="7" s="1"/>
  <c r="J4" i="7"/>
  <c r="J22" i="7" s="1"/>
  <c r="F4" i="7"/>
  <c r="F23" i="7" s="1"/>
  <c r="M34" i="6"/>
  <c r="C50" i="6"/>
  <c r="D50" i="6"/>
  <c r="E50" i="6"/>
  <c r="F50" i="6"/>
  <c r="G50" i="6"/>
  <c r="H50" i="6"/>
  <c r="H33" i="6" s="1"/>
  <c r="I50" i="6"/>
  <c r="J50" i="6"/>
  <c r="K50" i="6"/>
  <c r="K33" i="6" s="1"/>
  <c r="K37" i="6" s="1"/>
  <c r="L50" i="6"/>
  <c r="L33" i="6" s="1"/>
  <c r="L37" i="6" s="1"/>
  <c r="N50" i="6"/>
  <c r="O50" i="6"/>
  <c r="O33" i="6" s="1"/>
  <c r="O37" i="6" s="1"/>
  <c r="Q50" i="6"/>
  <c r="Q33" i="6" s="1"/>
  <c r="Q35" i="6" s="1"/>
  <c r="R50" i="6"/>
  <c r="M50" i="6"/>
  <c r="M33" i="6" s="1"/>
  <c r="M35" i="6" s="1"/>
  <c r="L34" i="6"/>
  <c r="L40" i="6" s="1"/>
  <c r="U10" i="5"/>
  <c r="T10" i="5"/>
  <c r="U33" i="5"/>
  <c r="T33" i="5"/>
  <c r="D10" i="6"/>
  <c r="I33" i="6"/>
  <c r="I35" i="6" s="1"/>
  <c r="G33" i="6"/>
  <c r="G37" i="6" s="1"/>
  <c r="D33" i="6"/>
  <c r="D37" i="6" s="1"/>
  <c r="C33" i="6"/>
  <c r="Q40" i="6"/>
  <c r="O40" i="6"/>
  <c r="M40" i="6"/>
  <c r="K40" i="6"/>
  <c r="I40" i="6"/>
  <c r="H40" i="6"/>
  <c r="G40" i="6"/>
  <c r="E40" i="6"/>
  <c r="D40" i="6"/>
  <c r="C40" i="6"/>
  <c r="Q38" i="6"/>
  <c r="P38" i="6"/>
  <c r="O38" i="6"/>
  <c r="M38" i="6"/>
  <c r="K38" i="6"/>
  <c r="I38" i="6"/>
  <c r="I44" i="6" s="1"/>
  <c r="H38" i="6"/>
  <c r="G38" i="6"/>
  <c r="E38" i="6"/>
  <c r="D38" i="6"/>
  <c r="C38" i="6"/>
  <c r="R34" i="6"/>
  <c r="N34" i="6"/>
  <c r="J34" i="6"/>
  <c r="F34" i="6"/>
  <c r="E33" i="6"/>
  <c r="E35" i="6" s="1"/>
  <c r="D28" i="6"/>
  <c r="C28" i="6"/>
  <c r="D27" i="6"/>
  <c r="C27" i="6"/>
  <c r="D26" i="6"/>
  <c r="C26" i="6"/>
  <c r="D25" i="6"/>
  <c r="C25" i="6"/>
  <c r="S22" i="6"/>
  <c r="S21" i="6"/>
  <c r="Q17" i="6"/>
  <c r="Q45" i="6" s="1"/>
  <c r="P17" i="6"/>
  <c r="O17" i="6"/>
  <c r="M17" i="6"/>
  <c r="L17" i="6"/>
  <c r="K17" i="6"/>
  <c r="I17" i="6"/>
  <c r="I45" i="6" s="1"/>
  <c r="H17" i="6"/>
  <c r="H45" i="6" s="1"/>
  <c r="G17" i="6"/>
  <c r="E17" i="6"/>
  <c r="D17" i="6"/>
  <c r="Q16" i="6"/>
  <c r="P16" i="6"/>
  <c r="O16" i="6"/>
  <c r="M16" i="6"/>
  <c r="L16" i="6"/>
  <c r="K16" i="6"/>
  <c r="I16" i="6"/>
  <c r="H16" i="6"/>
  <c r="G16" i="6"/>
  <c r="E16" i="6"/>
  <c r="D16" i="6"/>
  <c r="C16" i="6"/>
  <c r="Q15" i="6"/>
  <c r="Q44" i="6" s="1"/>
  <c r="P15" i="6"/>
  <c r="O15" i="6"/>
  <c r="O44" i="6" s="1"/>
  <c r="M15" i="6"/>
  <c r="L15" i="6"/>
  <c r="K15" i="6"/>
  <c r="I15" i="6"/>
  <c r="H15" i="6"/>
  <c r="H44" i="6" s="1"/>
  <c r="G15" i="6"/>
  <c r="E15" i="6"/>
  <c r="D15" i="6"/>
  <c r="Q14" i="6"/>
  <c r="P14" i="6"/>
  <c r="O14" i="6"/>
  <c r="M14" i="6"/>
  <c r="L14" i="6"/>
  <c r="K14" i="6"/>
  <c r="I14" i="6"/>
  <c r="H14" i="6"/>
  <c r="G14" i="6"/>
  <c r="E14" i="6"/>
  <c r="D14" i="6"/>
  <c r="C14" i="6"/>
  <c r="Q12" i="6"/>
  <c r="P12" i="6"/>
  <c r="O12" i="6"/>
  <c r="M12" i="6"/>
  <c r="L12" i="6"/>
  <c r="K12" i="6"/>
  <c r="I12" i="6"/>
  <c r="H12" i="6"/>
  <c r="G12" i="6"/>
  <c r="E12" i="6"/>
  <c r="D12" i="6"/>
  <c r="R11" i="6"/>
  <c r="N11" i="6"/>
  <c r="J11" i="6"/>
  <c r="C17" i="6"/>
  <c r="R10" i="6"/>
  <c r="N10" i="6"/>
  <c r="J10" i="6"/>
  <c r="F10" i="6"/>
  <c r="R6" i="6"/>
  <c r="R27" i="6" s="1"/>
  <c r="N6" i="6"/>
  <c r="N28" i="6" s="1"/>
  <c r="J6" i="6"/>
  <c r="J27" i="6" s="1"/>
  <c r="F6" i="6"/>
  <c r="R5" i="6"/>
  <c r="R25" i="6" s="1"/>
  <c r="N5" i="6"/>
  <c r="J5" i="6"/>
  <c r="J26" i="6" s="1"/>
  <c r="F5" i="6"/>
  <c r="F26" i="6" s="1"/>
  <c r="R17" i="5"/>
  <c r="R16" i="5"/>
  <c r="R15" i="5"/>
  <c r="R14" i="5"/>
  <c r="Q17" i="5"/>
  <c r="Q16" i="5"/>
  <c r="Q15" i="5"/>
  <c r="Q14" i="5"/>
  <c r="R12" i="5"/>
  <c r="Q12" i="5"/>
  <c r="R40" i="5"/>
  <c r="R39" i="5"/>
  <c r="R38" i="5"/>
  <c r="R37" i="5"/>
  <c r="Q40" i="5"/>
  <c r="Q39" i="5"/>
  <c r="Q38" i="5"/>
  <c r="Q37" i="5"/>
  <c r="R35" i="5"/>
  <c r="R34" i="5"/>
  <c r="Q35" i="5"/>
  <c r="R28" i="5"/>
  <c r="R27" i="5"/>
  <c r="R26" i="5"/>
  <c r="R25" i="5"/>
  <c r="S35" i="9" l="1"/>
  <c r="S39" i="9" s="1"/>
  <c r="S38" i="9"/>
  <c r="F34" i="9"/>
  <c r="S28" i="9"/>
  <c r="F32" i="9"/>
  <c r="F30" i="9"/>
  <c r="I38" i="7"/>
  <c r="D38" i="7"/>
  <c r="H38" i="7"/>
  <c r="L38" i="7"/>
  <c r="R15" i="7"/>
  <c r="R14" i="7"/>
  <c r="R11" i="7"/>
  <c r="C38" i="7"/>
  <c r="R35" i="7"/>
  <c r="K38" i="7"/>
  <c r="E45" i="6"/>
  <c r="C45" i="6"/>
  <c r="K39" i="7"/>
  <c r="J15" i="7"/>
  <c r="I39" i="7"/>
  <c r="H39" i="7"/>
  <c r="J14" i="7"/>
  <c r="J25" i="7"/>
  <c r="J35" i="7"/>
  <c r="E38" i="7"/>
  <c r="E39" i="7"/>
  <c r="F24" i="7"/>
  <c r="D39" i="7"/>
  <c r="C39" i="7"/>
  <c r="R33" i="7"/>
  <c r="L39" i="7"/>
  <c r="J16" i="7"/>
  <c r="R22" i="7"/>
  <c r="R13" i="7"/>
  <c r="G39" i="7"/>
  <c r="F15" i="7"/>
  <c r="F35" i="7"/>
  <c r="F16" i="7"/>
  <c r="S4" i="7"/>
  <c r="S22" i="7" s="1"/>
  <c r="E32" i="7"/>
  <c r="E30" i="7"/>
  <c r="E34" i="7"/>
  <c r="I32" i="7"/>
  <c r="I34" i="7"/>
  <c r="I30" i="7"/>
  <c r="D34" i="7"/>
  <c r="D32" i="7"/>
  <c r="D30" i="7"/>
  <c r="H30" i="7"/>
  <c r="H34" i="7"/>
  <c r="H32" i="7"/>
  <c r="J11" i="7"/>
  <c r="R16" i="7"/>
  <c r="G30" i="7"/>
  <c r="F13" i="7"/>
  <c r="C32" i="7"/>
  <c r="G32" i="7"/>
  <c r="F33" i="7"/>
  <c r="D11" i="7"/>
  <c r="F14" i="7"/>
  <c r="F22" i="7"/>
  <c r="J23" i="7"/>
  <c r="R25" i="7"/>
  <c r="S10" i="7"/>
  <c r="F11" i="7"/>
  <c r="C30" i="7"/>
  <c r="K30" i="7"/>
  <c r="S5" i="7"/>
  <c r="S24" i="7" s="1"/>
  <c r="J13" i="7"/>
  <c r="K32" i="7"/>
  <c r="J33" i="7"/>
  <c r="S9" i="7"/>
  <c r="F28" i="7"/>
  <c r="F30" i="7" s="1"/>
  <c r="J28" i="7"/>
  <c r="J30" i="7" s="1"/>
  <c r="R28" i="7"/>
  <c r="R30" i="7" s="1"/>
  <c r="S29" i="7"/>
  <c r="P44" i="6"/>
  <c r="O45" i="6"/>
  <c r="M44" i="6"/>
  <c r="L38" i="6"/>
  <c r="L44" i="6" s="1"/>
  <c r="L45" i="6"/>
  <c r="L35" i="6"/>
  <c r="K44" i="6"/>
  <c r="G39" i="6"/>
  <c r="G44" i="6"/>
  <c r="E44" i="6"/>
  <c r="D44" i="6"/>
  <c r="F40" i="6"/>
  <c r="N38" i="6"/>
  <c r="K39" i="6"/>
  <c r="D35" i="6"/>
  <c r="O39" i="6"/>
  <c r="N12" i="6"/>
  <c r="R17" i="6"/>
  <c r="R28" i="6"/>
  <c r="M45" i="6"/>
  <c r="K45" i="6"/>
  <c r="S6" i="6"/>
  <c r="S27" i="6" s="1"/>
  <c r="G45" i="6"/>
  <c r="J17" i="6"/>
  <c r="D45" i="6"/>
  <c r="R14" i="6"/>
  <c r="N14" i="6"/>
  <c r="J15" i="6"/>
  <c r="J14" i="6"/>
  <c r="F14" i="6"/>
  <c r="F25" i="6"/>
  <c r="R40" i="6"/>
  <c r="R38" i="6"/>
  <c r="C37" i="6"/>
  <c r="C35" i="6"/>
  <c r="F33" i="6"/>
  <c r="C39" i="6"/>
  <c r="H37" i="6"/>
  <c r="H35" i="6"/>
  <c r="H39" i="6"/>
  <c r="N15" i="6"/>
  <c r="N27" i="6"/>
  <c r="E37" i="6"/>
  <c r="Q37" i="6"/>
  <c r="J40" i="6"/>
  <c r="S5" i="6"/>
  <c r="C15" i="6"/>
  <c r="C44" i="6" s="1"/>
  <c r="F16" i="6"/>
  <c r="J16" i="6"/>
  <c r="N16" i="6"/>
  <c r="R16" i="6"/>
  <c r="J25" i="6"/>
  <c r="N26" i="6"/>
  <c r="F28" i="6"/>
  <c r="J33" i="6"/>
  <c r="J35" i="6" s="1"/>
  <c r="N33" i="6"/>
  <c r="G35" i="6"/>
  <c r="K35" i="6"/>
  <c r="O35" i="6"/>
  <c r="D39" i="6"/>
  <c r="L39" i="6"/>
  <c r="S34" i="6"/>
  <c r="M37" i="6"/>
  <c r="F11" i="6"/>
  <c r="J12" i="6"/>
  <c r="R12" i="6"/>
  <c r="N17" i="6"/>
  <c r="N25" i="6"/>
  <c r="R26" i="6"/>
  <c r="F27" i="6"/>
  <c r="J28" i="6"/>
  <c r="F38" i="6"/>
  <c r="J38" i="6"/>
  <c r="J44" i="6" s="1"/>
  <c r="E39" i="6"/>
  <c r="I39" i="6"/>
  <c r="M39" i="6"/>
  <c r="Q39" i="6"/>
  <c r="P40" i="6"/>
  <c r="P45" i="6" s="1"/>
  <c r="R15" i="6"/>
  <c r="I37" i="6"/>
  <c r="N40" i="6"/>
  <c r="S10" i="6"/>
  <c r="C12" i="6"/>
  <c r="P17" i="5"/>
  <c r="P16" i="5"/>
  <c r="P15" i="5"/>
  <c r="P14" i="5"/>
  <c r="P12" i="5"/>
  <c r="P34" i="5"/>
  <c r="P38" i="5" s="1"/>
  <c r="P53" i="5"/>
  <c r="P52" i="5"/>
  <c r="P51" i="5"/>
  <c r="O17" i="5"/>
  <c r="O16" i="5"/>
  <c r="O15" i="5"/>
  <c r="O14" i="5"/>
  <c r="O12" i="5"/>
  <c r="O40" i="5"/>
  <c r="O38" i="5"/>
  <c r="S32" i="9" l="1"/>
  <c r="S34" i="9"/>
  <c r="S30" i="9"/>
  <c r="R38" i="7"/>
  <c r="J39" i="7"/>
  <c r="J38" i="7"/>
  <c r="F39" i="7"/>
  <c r="R39" i="7"/>
  <c r="S23" i="7"/>
  <c r="F38" i="7"/>
  <c r="S25" i="7"/>
  <c r="J32" i="7"/>
  <c r="J34" i="7"/>
  <c r="S14" i="7"/>
  <c r="S11" i="7"/>
  <c r="S16" i="7"/>
  <c r="S35" i="7"/>
  <c r="S33" i="7"/>
  <c r="F34" i="7"/>
  <c r="F32" i="7"/>
  <c r="R32" i="7"/>
  <c r="R34" i="7"/>
  <c r="S13" i="7"/>
  <c r="S15" i="7"/>
  <c r="R45" i="6"/>
  <c r="S28" i="6"/>
  <c r="N45" i="6"/>
  <c r="J45" i="6"/>
  <c r="R44" i="6"/>
  <c r="N44" i="6"/>
  <c r="S11" i="6"/>
  <c r="F15" i="6"/>
  <c r="F44" i="6" s="1"/>
  <c r="F17" i="6"/>
  <c r="F45" i="6" s="1"/>
  <c r="F12" i="6"/>
  <c r="F39" i="6"/>
  <c r="F37" i="6"/>
  <c r="F35" i="6"/>
  <c r="S16" i="6"/>
  <c r="S14" i="6"/>
  <c r="N39" i="6"/>
  <c r="N37" i="6"/>
  <c r="N35" i="6"/>
  <c r="S38" i="6"/>
  <c r="S40" i="6"/>
  <c r="J39" i="6"/>
  <c r="J37" i="6"/>
  <c r="S25" i="6"/>
  <c r="S26" i="6"/>
  <c r="P40" i="5"/>
  <c r="M40" i="5"/>
  <c r="M38" i="5"/>
  <c r="M17" i="5"/>
  <c r="M16" i="5"/>
  <c r="M15" i="5"/>
  <c r="M14" i="5"/>
  <c r="M12" i="5"/>
  <c r="S39" i="7" l="1"/>
  <c r="S38" i="7"/>
  <c r="S17" i="6"/>
  <c r="S45" i="6" s="1"/>
  <c r="S12" i="6"/>
  <c r="S15" i="6"/>
  <c r="S44" i="6" s="1"/>
  <c r="L17" i="5"/>
  <c r="L16" i="5"/>
  <c r="L15" i="5"/>
  <c r="L14" i="5"/>
  <c r="L12" i="5"/>
  <c r="L40" i="5"/>
  <c r="L38" i="5"/>
  <c r="K17" i="5" l="1"/>
  <c r="K16" i="5"/>
  <c r="K15" i="5"/>
  <c r="K14" i="5"/>
  <c r="K12" i="5"/>
  <c r="K40" i="5"/>
  <c r="K38" i="5"/>
  <c r="I17" i="5"/>
  <c r="I16" i="5"/>
  <c r="I15" i="5"/>
  <c r="I14" i="5"/>
  <c r="I12" i="5"/>
  <c r="I40" i="5"/>
  <c r="I38" i="5"/>
  <c r="K44" i="5" l="1"/>
  <c r="H12" i="5"/>
  <c r="G12" i="5"/>
  <c r="E12" i="5"/>
  <c r="R23" i="2"/>
  <c r="N23" i="2"/>
  <c r="J23" i="2"/>
  <c r="F23" i="2"/>
  <c r="Q12" i="2"/>
  <c r="P12" i="2"/>
  <c r="O12" i="2"/>
  <c r="M12" i="2"/>
  <c r="I12" i="2"/>
  <c r="H12" i="2"/>
  <c r="G12" i="2"/>
  <c r="E12" i="2"/>
  <c r="D12" i="2"/>
  <c r="C12" i="2"/>
  <c r="N29" i="2"/>
  <c r="J29" i="2"/>
  <c r="F29" i="2"/>
  <c r="H17" i="5"/>
  <c r="H16" i="5"/>
  <c r="H15" i="5"/>
  <c r="H14" i="5"/>
  <c r="H40" i="5"/>
  <c r="H38" i="5"/>
  <c r="H44" i="5" s="1"/>
  <c r="G17" i="5"/>
  <c r="G16" i="5"/>
  <c r="G15" i="5"/>
  <c r="G14" i="5"/>
  <c r="E17" i="5"/>
  <c r="G40" i="5"/>
  <c r="G38" i="5"/>
  <c r="D11" i="5" l="1"/>
  <c r="D12" i="5" s="1"/>
  <c r="C11" i="5"/>
  <c r="C12" i="5" s="1"/>
  <c r="E16" i="5"/>
  <c r="E15" i="5"/>
  <c r="E14" i="5"/>
  <c r="E44" i="5"/>
  <c r="E40" i="5"/>
  <c r="E38" i="5"/>
  <c r="R45" i="5"/>
  <c r="Q45" i="5"/>
  <c r="P45" i="5"/>
  <c r="O45" i="5"/>
  <c r="M45" i="5"/>
  <c r="L45" i="5"/>
  <c r="K45" i="5"/>
  <c r="I45" i="5"/>
  <c r="H45" i="5"/>
  <c r="G45" i="5"/>
  <c r="E45" i="5"/>
  <c r="D40" i="5"/>
  <c r="C40" i="5"/>
  <c r="D38" i="5"/>
  <c r="C38" i="5"/>
  <c r="D28" i="5"/>
  <c r="C28" i="5"/>
  <c r="D27" i="5"/>
  <c r="C27" i="5"/>
  <c r="D26" i="5"/>
  <c r="C26" i="5"/>
  <c r="D25" i="5"/>
  <c r="C25" i="5"/>
  <c r="D16" i="5"/>
  <c r="C16" i="5"/>
  <c r="D14" i="5"/>
  <c r="C14" i="5"/>
  <c r="F10" i="5"/>
  <c r="J10" i="5"/>
  <c r="N10" i="5"/>
  <c r="R10" i="5"/>
  <c r="J11" i="5"/>
  <c r="N11" i="5"/>
  <c r="R11" i="5"/>
  <c r="R6" i="5"/>
  <c r="N6" i="5"/>
  <c r="J6" i="5"/>
  <c r="F6" i="5"/>
  <c r="F28" i="5" s="1"/>
  <c r="J27" i="5" l="1"/>
  <c r="J28" i="5"/>
  <c r="N17" i="5"/>
  <c r="N16" i="5"/>
  <c r="N27" i="5"/>
  <c r="N28" i="5"/>
  <c r="J17" i="5"/>
  <c r="J16" i="5"/>
  <c r="C15" i="5"/>
  <c r="C17" i="5"/>
  <c r="C45" i="5" s="1"/>
  <c r="F11" i="5"/>
  <c r="F12" i="5" s="1"/>
  <c r="D15" i="5"/>
  <c r="D17" i="5"/>
  <c r="D45" i="5" s="1"/>
  <c r="N12" i="5"/>
  <c r="J12" i="5"/>
  <c r="F17" i="5"/>
  <c r="F27" i="5"/>
  <c r="F16" i="5"/>
  <c r="S10" i="5"/>
  <c r="S6" i="5"/>
  <c r="S11" i="5" l="1"/>
  <c r="S17" i="5" s="1"/>
  <c r="S12" i="5"/>
  <c r="S16" i="5"/>
  <c r="Q40" i="2"/>
  <c r="P40" i="2"/>
  <c r="O40" i="2"/>
  <c r="M40" i="2"/>
  <c r="L40" i="2"/>
  <c r="I40" i="2"/>
  <c r="H40" i="2"/>
  <c r="G40" i="2"/>
  <c r="E40" i="2"/>
  <c r="D40" i="2"/>
  <c r="C40" i="2"/>
  <c r="R28" i="2"/>
  <c r="Q28" i="2"/>
  <c r="P28" i="2"/>
  <c r="O28" i="2"/>
  <c r="O45" i="2" s="1"/>
  <c r="R27" i="2"/>
  <c r="Q27" i="2"/>
  <c r="P27" i="2"/>
  <c r="O27" i="2"/>
  <c r="M28" i="2"/>
  <c r="L28" i="2"/>
  <c r="K28" i="2"/>
  <c r="M27" i="2"/>
  <c r="L27" i="2"/>
  <c r="K27" i="2"/>
  <c r="J28" i="2"/>
  <c r="I28" i="2"/>
  <c r="H28" i="2"/>
  <c r="G28" i="2"/>
  <c r="G45" i="2" s="1"/>
  <c r="J27" i="2"/>
  <c r="I27" i="2"/>
  <c r="H27" i="2"/>
  <c r="G27" i="2"/>
  <c r="F28" i="2"/>
  <c r="E28" i="2"/>
  <c r="D28" i="2"/>
  <c r="E27" i="2"/>
  <c r="D27" i="2"/>
  <c r="C28" i="2"/>
  <c r="C27" i="2"/>
  <c r="Q17" i="2"/>
  <c r="Q45" i="2" s="1"/>
  <c r="P17" i="2"/>
  <c r="P45" i="2" s="1"/>
  <c r="O17" i="2"/>
  <c r="Q16" i="2"/>
  <c r="P16" i="2"/>
  <c r="O16" i="2"/>
  <c r="M17" i="2"/>
  <c r="M45" i="2" s="1"/>
  <c r="M16" i="2"/>
  <c r="L16" i="2"/>
  <c r="K16" i="2"/>
  <c r="I17" i="2"/>
  <c r="I45" i="2" s="1"/>
  <c r="H17" i="2"/>
  <c r="H45" i="2" s="1"/>
  <c r="G17" i="2"/>
  <c r="I16" i="2"/>
  <c r="H16" i="2"/>
  <c r="G16" i="2"/>
  <c r="E17" i="2"/>
  <c r="E45" i="2" s="1"/>
  <c r="D17" i="2"/>
  <c r="D45" i="2" s="1"/>
  <c r="E16" i="2"/>
  <c r="D16" i="2"/>
  <c r="C17" i="2"/>
  <c r="C45" i="2" s="1"/>
  <c r="C16" i="2"/>
  <c r="R6" i="2"/>
  <c r="N6" i="2"/>
  <c r="N28" i="2" s="1"/>
  <c r="J6" i="2"/>
  <c r="F6" i="2"/>
  <c r="F27" i="2" s="1"/>
  <c r="N27" i="2" l="1"/>
  <c r="S6" i="2"/>
  <c r="Q44" i="5"/>
  <c r="P44" i="5"/>
  <c r="O44" i="5"/>
  <c r="M44" i="5"/>
  <c r="L44" i="5"/>
  <c r="I44" i="5"/>
  <c r="G44" i="5"/>
  <c r="D44" i="5"/>
  <c r="C44" i="5"/>
  <c r="Q50" i="5" l="1"/>
  <c r="P50" i="5"/>
  <c r="P33" i="5" s="1"/>
  <c r="O50" i="5"/>
  <c r="O33" i="5" s="1"/>
  <c r="M50" i="5"/>
  <c r="M33" i="5" s="1"/>
  <c r="L50" i="5"/>
  <c r="L33" i="5" s="1"/>
  <c r="K50" i="5"/>
  <c r="K33" i="5" s="1"/>
  <c r="I50" i="5"/>
  <c r="I33" i="5" s="1"/>
  <c r="H50" i="5"/>
  <c r="H33" i="5" s="1"/>
  <c r="G50" i="5"/>
  <c r="G33" i="5" s="1"/>
  <c r="E50" i="5"/>
  <c r="E33" i="5" s="1"/>
  <c r="D50" i="5"/>
  <c r="D33" i="5" s="1"/>
  <c r="C50" i="5"/>
  <c r="N34" i="5"/>
  <c r="J34" i="5"/>
  <c r="F34" i="5"/>
  <c r="S22" i="5"/>
  <c r="S21" i="5"/>
  <c r="R5" i="5"/>
  <c r="R44" i="5" s="1"/>
  <c r="N5" i="5"/>
  <c r="J5" i="5"/>
  <c r="F5" i="5"/>
  <c r="Q38" i="2"/>
  <c r="P38" i="2"/>
  <c r="O38" i="2"/>
  <c r="M38" i="2"/>
  <c r="L38" i="2"/>
  <c r="I38" i="2"/>
  <c r="H38" i="2"/>
  <c r="G38" i="2"/>
  <c r="E38" i="2"/>
  <c r="D38" i="2"/>
  <c r="C38" i="2"/>
  <c r="Q26" i="2"/>
  <c r="P26" i="2"/>
  <c r="O26" i="2"/>
  <c r="M26" i="2"/>
  <c r="L26" i="2"/>
  <c r="K26" i="2"/>
  <c r="I26" i="2"/>
  <c r="H26" i="2"/>
  <c r="G26" i="2"/>
  <c r="E26" i="2"/>
  <c r="D26" i="2"/>
  <c r="C26" i="2"/>
  <c r="Q15" i="2"/>
  <c r="P15" i="2"/>
  <c r="O15" i="2"/>
  <c r="M15" i="2"/>
  <c r="I15" i="2"/>
  <c r="H15" i="2"/>
  <c r="G15" i="2"/>
  <c r="D15" i="2"/>
  <c r="E15" i="2"/>
  <c r="C15" i="2"/>
  <c r="K34" i="2"/>
  <c r="L11" i="2"/>
  <c r="K11" i="2"/>
  <c r="R34" i="2"/>
  <c r="J34" i="2"/>
  <c r="F34" i="2"/>
  <c r="S22" i="2"/>
  <c r="R11" i="2"/>
  <c r="J11" i="2"/>
  <c r="F11" i="2"/>
  <c r="Q25" i="2"/>
  <c r="P25" i="2"/>
  <c r="O25" i="2"/>
  <c r="M25" i="2"/>
  <c r="L25" i="2"/>
  <c r="K25" i="2"/>
  <c r="I25" i="2"/>
  <c r="H25" i="2"/>
  <c r="G25" i="2"/>
  <c r="Q14" i="2"/>
  <c r="P14" i="2"/>
  <c r="O14" i="2"/>
  <c r="M14" i="2"/>
  <c r="L14" i="2"/>
  <c r="K14" i="2"/>
  <c r="I14" i="2"/>
  <c r="H14" i="2"/>
  <c r="G14" i="2"/>
  <c r="E25" i="2"/>
  <c r="E14" i="2"/>
  <c r="D25" i="2"/>
  <c r="D14" i="2"/>
  <c r="C25" i="2"/>
  <c r="C14" i="2"/>
  <c r="R5" i="2"/>
  <c r="R25" i="2" s="1"/>
  <c r="N5" i="2"/>
  <c r="N25" i="2" s="1"/>
  <c r="J5" i="2"/>
  <c r="J25" i="2" s="1"/>
  <c r="F5" i="2"/>
  <c r="F26" i="2" s="1"/>
  <c r="L15" i="2" l="1"/>
  <c r="L44" i="2" s="1"/>
  <c r="L12" i="2"/>
  <c r="L17" i="2"/>
  <c r="L45" i="2" s="1"/>
  <c r="H39" i="5"/>
  <c r="H37" i="5"/>
  <c r="H35" i="5"/>
  <c r="J17" i="2"/>
  <c r="N34" i="2"/>
  <c r="K40" i="2"/>
  <c r="N25" i="5"/>
  <c r="N26" i="5"/>
  <c r="N14" i="5"/>
  <c r="N15" i="5"/>
  <c r="N44" i="5" s="1"/>
  <c r="D35" i="5"/>
  <c r="D39" i="5"/>
  <c r="D37" i="5"/>
  <c r="I39" i="5"/>
  <c r="I37" i="5"/>
  <c r="I35" i="5"/>
  <c r="O35" i="5"/>
  <c r="O37" i="5"/>
  <c r="O39" i="5"/>
  <c r="F17" i="2"/>
  <c r="M37" i="5"/>
  <c r="M39" i="5"/>
  <c r="M35" i="5"/>
  <c r="J40" i="2"/>
  <c r="R17" i="2"/>
  <c r="R40" i="2"/>
  <c r="J38" i="5"/>
  <c r="J40" i="5"/>
  <c r="J45" i="5" s="1"/>
  <c r="E35" i="5"/>
  <c r="E39" i="5"/>
  <c r="E37" i="5"/>
  <c r="K37" i="5"/>
  <c r="K35" i="5"/>
  <c r="K39" i="5"/>
  <c r="F40" i="2"/>
  <c r="J26" i="5"/>
  <c r="J44" i="5" s="1"/>
  <c r="J25" i="5"/>
  <c r="J15" i="5"/>
  <c r="J14" i="5"/>
  <c r="S28" i="2"/>
  <c r="K15" i="2"/>
  <c r="K12" i="2"/>
  <c r="K17" i="2"/>
  <c r="E44" i="2"/>
  <c r="I44" i="2"/>
  <c r="Q44" i="2"/>
  <c r="N38" i="5"/>
  <c r="N40" i="5"/>
  <c r="N45" i="5" s="1"/>
  <c r="G37" i="5"/>
  <c r="G35" i="5"/>
  <c r="G39" i="5"/>
  <c r="L37" i="5"/>
  <c r="L35" i="5"/>
  <c r="L39" i="5"/>
  <c r="P39" i="5"/>
  <c r="P35" i="5"/>
  <c r="P37" i="5"/>
  <c r="F25" i="5"/>
  <c r="F26" i="5"/>
  <c r="F15" i="5"/>
  <c r="F14" i="5"/>
  <c r="F40" i="5"/>
  <c r="F45" i="5" s="1"/>
  <c r="F38" i="5"/>
  <c r="S28" i="5"/>
  <c r="S27" i="5"/>
  <c r="S50" i="5"/>
  <c r="C33" i="5"/>
  <c r="Q33" i="5"/>
  <c r="S34" i="5"/>
  <c r="J33" i="5"/>
  <c r="N33" i="5"/>
  <c r="S5" i="5"/>
  <c r="R15" i="2"/>
  <c r="J15" i="2"/>
  <c r="J38" i="2"/>
  <c r="H44" i="2"/>
  <c r="K38" i="2"/>
  <c r="F15" i="2"/>
  <c r="F44" i="2" s="1"/>
  <c r="F38" i="2"/>
  <c r="O44" i="2"/>
  <c r="R38" i="2"/>
  <c r="P44" i="2"/>
  <c r="N38" i="2"/>
  <c r="C44" i="2"/>
  <c r="K44" i="2"/>
  <c r="D44" i="2"/>
  <c r="M44" i="2"/>
  <c r="G44" i="2"/>
  <c r="J26" i="2"/>
  <c r="N26" i="2"/>
  <c r="R26" i="2"/>
  <c r="N11" i="2"/>
  <c r="S11" i="2" s="1"/>
  <c r="S34" i="2"/>
  <c r="S5" i="2"/>
  <c r="S26" i="2" s="1"/>
  <c r="F25" i="2"/>
  <c r="S17" i="2" l="1"/>
  <c r="J35" i="5"/>
  <c r="J39" i="5"/>
  <c r="J37" i="5"/>
  <c r="S40" i="2"/>
  <c r="R45" i="2"/>
  <c r="F45" i="2"/>
  <c r="N40" i="2"/>
  <c r="N17" i="2"/>
  <c r="R44" i="2"/>
  <c r="N35" i="5"/>
  <c r="N37" i="5"/>
  <c r="N39" i="5"/>
  <c r="C35" i="5"/>
  <c r="C39" i="5"/>
  <c r="C37" i="5"/>
  <c r="K45" i="2"/>
  <c r="J45" i="2"/>
  <c r="S14" i="5"/>
  <c r="S15" i="5"/>
  <c r="S25" i="5"/>
  <c r="S26" i="5"/>
  <c r="S40" i="5"/>
  <c r="S45" i="5" s="1"/>
  <c r="S38" i="5"/>
  <c r="F44" i="5"/>
  <c r="R33" i="5"/>
  <c r="F33" i="5"/>
  <c r="F35" i="5" s="1"/>
  <c r="S38" i="2"/>
  <c r="J44" i="2"/>
  <c r="S15" i="2"/>
  <c r="S44" i="2" s="1"/>
  <c r="N15" i="2"/>
  <c r="N44" i="2" s="1"/>
  <c r="Q50" i="2"/>
  <c r="P50" i="2"/>
  <c r="O50" i="2"/>
  <c r="M50" i="2"/>
  <c r="L50" i="2"/>
  <c r="H50" i="2"/>
  <c r="G50" i="2"/>
  <c r="E50" i="2"/>
  <c r="D50" i="2"/>
  <c r="C50" i="2"/>
  <c r="I50" i="2"/>
  <c r="S44" i="5" l="1"/>
  <c r="N45" i="2"/>
  <c r="S45" i="2"/>
  <c r="F39" i="5"/>
  <c r="F37" i="5"/>
  <c r="S33" i="5"/>
  <c r="S35" i="5" s="1"/>
  <c r="K53" i="2"/>
  <c r="K52" i="2"/>
  <c r="K51" i="2"/>
  <c r="P33" i="2"/>
  <c r="O33" i="2"/>
  <c r="M33" i="2"/>
  <c r="L33" i="2"/>
  <c r="I33" i="2"/>
  <c r="H33" i="2"/>
  <c r="D33" i="2"/>
  <c r="Q33" i="2"/>
  <c r="G33" i="2"/>
  <c r="E33" i="2"/>
  <c r="C33" i="2"/>
  <c r="S21" i="2"/>
  <c r="R10" i="2"/>
  <c r="N10" i="2"/>
  <c r="J10" i="2"/>
  <c r="F10" i="2"/>
  <c r="S25" i="2" l="1"/>
  <c r="S27" i="2"/>
  <c r="S29" i="2"/>
  <c r="S23" i="2"/>
  <c r="Q37" i="2"/>
  <c r="Q35" i="2"/>
  <c r="Q39" i="2"/>
  <c r="J14" i="2"/>
  <c r="J16" i="2"/>
  <c r="J12" i="2"/>
  <c r="J18" i="2"/>
  <c r="D37" i="2"/>
  <c r="D35" i="2"/>
  <c r="D39" i="2"/>
  <c r="M37" i="2"/>
  <c r="M35" i="2"/>
  <c r="M39" i="2"/>
  <c r="E37" i="2"/>
  <c r="E35" i="2"/>
  <c r="E39" i="2"/>
  <c r="O37" i="2"/>
  <c r="O35" i="2"/>
  <c r="O39" i="2"/>
  <c r="F14" i="2"/>
  <c r="F16" i="2"/>
  <c r="F12" i="2"/>
  <c r="F18" i="2"/>
  <c r="L37" i="2"/>
  <c r="L35" i="2"/>
  <c r="L39" i="2"/>
  <c r="C37" i="2"/>
  <c r="C35" i="2"/>
  <c r="C39" i="2"/>
  <c r="N14" i="2"/>
  <c r="N16" i="2"/>
  <c r="N12" i="2"/>
  <c r="N18" i="2"/>
  <c r="H37" i="2"/>
  <c r="H35" i="2"/>
  <c r="H39" i="2"/>
  <c r="R14" i="2"/>
  <c r="R16" i="2"/>
  <c r="R12" i="2"/>
  <c r="G37" i="2"/>
  <c r="G35" i="2"/>
  <c r="G39" i="2"/>
  <c r="I37" i="2"/>
  <c r="I35" i="2"/>
  <c r="I39" i="2"/>
  <c r="P37" i="2"/>
  <c r="P35" i="2"/>
  <c r="P39" i="2"/>
  <c r="S37" i="5"/>
  <c r="S39" i="5"/>
  <c r="K50" i="2"/>
  <c r="K33" i="2" s="1"/>
  <c r="J33" i="2"/>
  <c r="R33" i="2"/>
  <c r="F33" i="2"/>
  <c r="S10" i="2"/>
  <c r="K37" i="2" l="1"/>
  <c r="K39" i="2"/>
  <c r="K35" i="2"/>
  <c r="J37" i="2"/>
  <c r="J39" i="2"/>
  <c r="J35" i="2"/>
  <c r="S14" i="2"/>
  <c r="S16" i="2"/>
  <c r="S12" i="2"/>
  <c r="S18" i="2"/>
  <c r="F37" i="2"/>
  <c r="F39" i="2"/>
  <c r="F35" i="2"/>
  <c r="R37" i="2"/>
  <c r="R39" i="2"/>
  <c r="R35" i="2"/>
  <c r="N33" i="2"/>
  <c r="S50" i="2"/>
  <c r="N37" i="2" l="1"/>
  <c r="N39" i="2"/>
  <c r="N35" i="2"/>
  <c r="S33" i="2"/>
  <c r="S37" i="2" l="1"/>
  <c r="S39" i="2"/>
  <c r="S35" i="2"/>
  <c r="P50" i="6" l="1"/>
  <c r="P33" i="6" s="1"/>
  <c r="S50" i="6"/>
  <c r="P37" i="6" l="1"/>
  <c r="R33" i="6"/>
  <c r="P39" i="6"/>
  <c r="P35" i="6"/>
  <c r="S33" i="6" l="1"/>
  <c r="R37" i="6"/>
  <c r="R39" i="6"/>
  <c r="S35" i="6" l="1"/>
  <c r="S39" i="6"/>
  <c r="S37" i="6"/>
  <c r="L44" i="7" l="1"/>
  <c r="S44" i="7" s="1"/>
  <c r="L28" i="7" l="1"/>
  <c r="L30" i="7" l="1"/>
  <c r="S28" i="7"/>
  <c r="S30" i="7" s="1"/>
  <c r="L34" i="7"/>
  <c r="L32" i="7"/>
  <c r="S32" i="7" l="1"/>
  <c r="S34" i="7"/>
  <c r="C44" i="12" l="1"/>
  <c r="D44" i="12"/>
  <c r="F44" i="12" s="1"/>
  <c r="F45" i="12" l="1"/>
  <c r="S44" i="12"/>
  <c r="S45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Lopez</author>
  </authors>
  <commentList>
    <comment ref="N20" authorId="0" shapeId="0" xr:uid="{488ADA93-C43C-4D91-A76C-9617B4B53A42}">
      <text>
        <r>
          <rPr>
            <b/>
            <sz val="9"/>
            <color indexed="81"/>
            <rFont val="Tahoma"/>
            <family val="2"/>
          </rPr>
          <t>Carlos Lopez:</t>
        </r>
        <r>
          <rPr>
            <sz val="9"/>
            <color indexed="81"/>
            <rFont val="Tahoma"/>
            <family val="2"/>
          </rPr>
          <t xml:space="preserve">
quitamos el auste de la sancion</t>
        </r>
      </text>
    </comment>
    <comment ref="R20" authorId="0" shapeId="0" xr:uid="{72B89831-C59B-4C09-BF0E-CBB8952AF450}">
      <text>
        <r>
          <rPr>
            <b/>
            <sz val="9"/>
            <color indexed="81"/>
            <rFont val="Tahoma"/>
            <family val="2"/>
          </rPr>
          <t>Carlos Lopez:</t>
        </r>
        <r>
          <rPr>
            <sz val="9"/>
            <color indexed="81"/>
            <rFont val="Tahoma"/>
            <family val="2"/>
          </rPr>
          <t xml:space="preserve">
quitamos el auste de la sancion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Lopez</author>
  </authors>
  <commentList>
    <comment ref="R20" authorId="0" shapeId="0" xr:uid="{A3DE0856-80F5-42F0-BF4E-FBACCE87C9DF}">
      <text>
        <r>
          <rPr>
            <b/>
            <sz val="9"/>
            <color indexed="81"/>
            <rFont val="Tahoma"/>
            <family val="2"/>
          </rPr>
          <t>Carlos Lopez:</t>
        </r>
        <r>
          <rPr>
            <sz val="9"/>
            <color indexed="81"/>
            <rFont val="Tahoma"/>
            <family val="2"/>
          </rPr>
          <t xml:space="preserve">
quitamos el auste de la sancion</t>
        </r>
      </text>
    </comment>
  </commentList>
</comments>
</file>

<file path=xl/sharedStrings.xml><?xml version="1.0" encoding="utf-8"?>
<sst xmlns="http://schemas.openxmlformats.org/spreadsheetml/2006/main" count="1237" uniqueCount="75">
  <si>
    <t>1T</t>
  </si>
  <si>
    <t>m3</t>
  </si>
  <si>
    <t>2T</t>
  </si>
  <si>
    <t>3T</t>
  </si>
  <si>
    <t>4T</t>
  </si>
  <si>
    <t>CONSUMOS POR MESES</t>
  </si>
  <si>
    <t>kWh</t>
  </si>
  <si>
    <t>TOTAL</t>
  </si>
  <si>
    <t>Electricidad</t>
  </si>
  <si>
    <t>Días Prod</t>
  </si>
  <si>
    <t>€</t>
  </si>
  <si>
    <t>CONSUMOS GAS NATURAL</t>
  </si>
  <si>
    <t>CONSUMOS AGUA</t>
  </si>
  <si>
    <t>CONSUMOS ELECTRICIDAD</t>
  </si>
  <si>
    <t>Dia Prod</t>
  </si>
  <si>
    <t>Gasto</t>
  </si>
  <si>
    <t>TOTAL GASTO X DIA PRODUCCIÓN</t>
  </si>
  <si>
    <t>Kg Prod</t>
  </si>
  <si>
    <t>Rendimientos 2019</t>
  </si>
  <si>
    <t>Coste X Kg prod</t>
  </si>
  <si>
    <t>kWh X Kg prod</t>
  </si>
  <si>
    <t>m3 X Kg prod</t>
  </si>
  <si>
    <t>Rendimientos 2020</t>
  </si>
  <si>
    <t>Precio kWh</t>
  </si>
  <si>
    <t xml:space="preserve">OBLIGADO CONSUMO AÑO MARZO/22 A MARZO/23 </t>
  </si>
  <si>
    <t>estimado en diciembre</t>
  </si>
  <si>
    <t>CONSUMOS FRIO</t>
  </si>
  <si>
    <t>PRESUPUESTO</t>
  </si>
  <si>
    <t>PPTO.</t>
  </si>
  <si>
    <t>Consumo Mwh</t>
  </si>
  <si>
    <t>Precio €/Mwh</t>
  </si>
  <si>
    <t>Termino variable</t>
  </si>
  <si>
    <t>FRIO (2025 Vs Presupuesto)</t>
  </si>
  <si>
    <t>Operación &amp; Manto.</t>
  </si>
  <si>
    <t>Real</t>
  </si>
  <si>
    <t>Ppto</t>
  </si>
  <si>
    <t>Variac</t>
  </si>
  <si>
    <t>Intereses</t>
  </si>
  <si>
    <t>Kwh</t>
  </si>
  <si>
    <t>Capital</t>
  </si>
  <si>
    <t>precio €/Kwh</t>
  </si>
  <si>
    <t>FACTURA</t>
  </si>
  <si>
    <t>Variac Precio €</t>
  </si>
  <si>
    <t>Volumen</t>
  </si>
  <si>
    <t>GASTO REAL FRIO</t>
  </si>
  <si>
    <t>ACTUAL</t>
  </si>
  <si>
    <t>FRIO (2025 Vs 2024)</t>
  </si>
  <si>
    <t>Real 25</t>
  </si>
  <si>
    <t>Real 24</t>
  </si>
  <si>
    <t>Variac Precio</t>
  </si>
  <si>
    <t>FRIO (2026 Vs Presupuesto)</t>
  </si>
  <si>
    <t>FRIO (2026 Vs 2025)</t>
  </si>
  <si>
    <t>Real 26</t>
  </si>
  <si>
    <t>Dia</t>
  </si>
  <si>
    <t>Fecha Consumo</t>
  </si>
  <si>
    <t>Mes</t>
  </si>
  <si>
    <t>Contador Agua</t>
  </si>
  <si>
    <t>Consumo agua m3</t>
  </si>
  <si>
    <t>Consumo kWh gas</t>
  </si>
  <si>
    <t>Consumo kWh electric</t>
  </si>
  <si>
    <t>KG Queso Blanco</t>
  </si>
  <si>
    <t>KG RQ</t>
  </si>
  <si>
    <t>Nata Propia</t>
  </si>
  <si>
    <t>Nata Ext</t>
  </si>
  <si>
    <t>Litr Suero</t>
  </si>
  <si>
    <t>Floc</t>
  </si>
  <si>
    <t>Litr/Flc</t>
  </si>
  <si>
    <t>Litr/Kg (sin nata)</t>
  </si>
  <si>
    <t>miércoles</t>
  </si>
  <si>
    <t>jueves</t>
  </si>
  <si>
    <t>viernes</t>
  </si>
  <si>
    <t>sábado</t>
  </si>
  <si>
    <t>domingo</t>
  </si>
  <si>
    <t>lunes</t>
  </si>
  <si>
    <t>martes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</si>
</sst>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#,##0\ &quot;€&quot;;\-#,##0\ &quot;€&quot;"/>
    <numFmt numFmtId="164" formatCode="#,##0.000"/>
    <numFmt numFmtId="165" formatCode="#,##0.0000"/>
    <numFmt numFmtId="166" formatCode="0.0%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98">
    <xf numFmtId="0" fontId="0" fillId="0" borderId="0" xfId="0"/>
    <xf numFmtId="3" fontId="0" fillId="0" borderId="1" xfId="0" applyNumberFormat="1" applyBorder="1"/>
    <xf numFmtId="3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3" fontId="0" fillId="0" borderId="0" xfId="0" applyNumberForma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0" fillId="0" borderId="3" xfId="0" applyNumberFormat="1" applyBorder="1"/>
    <xf numFmtId="3" fontId="0" fillId="0" borderId="4" xfId="0" applyNumberFormat="1" applyBorder="1"/>
    <xf numFmtId="3" fontId="1" fillId="0" borderId="2" xfId="0" applyNumberFormat="1" applyFont="1" applyBorder="1"/>
    <xf numFmtId="4" fontId="0" fillId="0" borderId="1" xfId="0" applyNumberFormat="1" applyBorder="1"/>
    <xf numFmtId="4" fontId="0" fillId="0" borderId="3" xfId="0" applyNumberFormat="1" applyBorder="1"/>
    <xf numFmtId="4" fontId="1" fillId="0" borderId="2" xfId="0" applyNumberFormat="1" applyFont="1" applyBorder="1"/>
    <xf numFmtId="4" fontId="0" fillId="0" borderId="4" xfId="0" applyNumberFormat="1" applyBorder="1"/>
    <xf numFmtId="17" fontId="1" fillId="2" borderId="1" xfId="0" applyNumberFormat="1" applyFont="1" applyFill="1" applyBorder="1" applyAlignment="1">
      <alignment horizontal="center"/>
    </xf>
    <xf numFmtId="17" fontId="1" fillId="2" borderId="3" xfId="0" applyNumberFormat="1" applyFont="1" applyFill="1" applyBorder="1" applyAlignment="1">
      <alignment horizontal="center"/>
    </xf>
    <xf numFmtId="17" fontId="1" fillId="2" borderId="4" xfId="0" applyNumberFormat="1" applyFont="1" applyFill="1" applyBorder="1" applyAlignment="1">
      <alignment horizontal="center"/>
    </xf>
    <xf numFmtId="17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/>
    <xf numFmtId="164" fontId="0" fillId="0" borderId="1" xfId="0" applyNumberFormat="1" applyBorder="1"/>
    <xf numFmtId="164" fontId="1" fillId="0" borderId="2" xfId="0" applyNumberFormat="1" applyFont="1" applyBorder="1"/>
    <xf numFmtId="164" fontId="0" fillId="3" borderId="1" xfId="0" applyNumberFormat="1" applyFill="1" applyBorder="1"/>
    <xf numFmtId="164" fontId="1" fillId="3" borderId="2" xfId="0" applyNumberFormat="1" applyFont="1" applyFill="1" applyBorder="1"/>
    <xf numFmtId="4" fontId="0" fillId="0" borderId="0" xfId="0" applyNumberFormat="1"/>
    <xf numFmtId="4" fontId="1" fillId="0" borderId="0" xfId="0" applyNumberFormat="1" applyFont="1"/>
    <xf numFmtId="0" fontId="1" fillId="0" borderId="0" xfId="0" applyFont="1"/>
    <xf numFmtId="164" fontId="0" fillId="4" borderId="1" xfId="0" applyNumberFormat="1" applyFill="1" applyBorder="1"/>
    <xf numFmtId="164" fontId="1" fillId="4" borderId="2" xfId="0" applyNumberFormat="1" applyFont="1" applyFill="1" applyBorder="1"/>
    <xf numFmtId="0" fontId="4" fillId="0" borderId="0" xfId="0" applyFont="1" applyAlignment="1">
      <alignment horizontal="left"/>
    </xf>
    <xf numFmtId="164" fontId="0" fillId="4" borderId="3" xfId="0" applyNumberFormat="1" applyFill="1" applyBorder="1"/>
    <xf numFmtId="164" fontId="0" fillId="3" borderId="3" xfId="0" applyNumberFormat="1" applyFill="1" applyBorder="1"/>
    <xf numFmtId="164" fontId="0" fillId="0" borderId="3" xfId="0" applyNumberFormat="1" applyBorder="1"/>
    <xf numFmtId="164" fontId="0" fillId="4" borderId="4" xfId="0" applyNumberFormat="1" applyFill="1" applyBorder="1"/>
    <xf numFmtId="164" fontId="0" fillId="3" borderId="4" xfId="0" applyNumberFormat="1" applyFill="1" applyBorder="1"/>
    <xf numFmtId="164" fontId="0" fillId="0" borderId="4" xfId="0" applyNumberFormat="1" applyBorder="1"/>
    <xf numFmtId="0" fontId="0" fillId="0" borderId="5" xfId="0" applyBorder="1"/>
    <xf numFmtId="17" fontId="1" fillId="2" borderId="1" xfId="0" applyNumberFormat="1" applyFont="1" applyFill="1" applyBorder="1" applyAlignment="1">
      <alignment horizontal="center" vertical="center"/>
    </xf>
    <xf numFmtId="17" fontId="1" fillId="2" borderId="3" xfId="0" applyNumberFormat="1" applyFont="1" applyFill="1" applyBorder="1" applyAlignment="1">
      <alignment horizontal="center" vertical="center"/>
    </xf>
    <xf numFmtId="17" fontId="1" fillId="0" borderId="2" xfId="0" applyNumberFormat="1" applyFont="1" applyBorder="1" applyAlignment="1">
      <alignment horizontal="center" vertical="center"/>
    </xf>
    <xf numFmtId="17" fontId="1" fillId="2" borderId="4" xfId="0" applyNumberFormat="1" applyFont="1" applyFill="1" applyBorder="1" applyAlignment="1">
      <alignment horizontal="center" vertical="center"/>
    </xf>
    <xf numFmtId="0" fontId="5" fillId="0" borderId="0" xfId="0" applyFont="1"/>
    <xf numFmtId="3" fontId="0" fillId="5" borderId="1" xfId="0" applyNumberFormat="1" applyFill="1" applyBorder="1"/>
    <xf numFmtId="3" fontId="0" fillId="5" borderId="3" xfId="0" applyNumberFormat="1" applyFill="1" applyBorder="1"/>
    <xf numFmtId="4" fontId="0" fillId="5" borderId="1" xfId="0" applyNumberFormat="1" applyFill="1" applyBorder="1"/>
    <xf numFmtId="4" fontId="0" fillId="5" borderId="3" xfId="0" applyNumberFormat="1" applyFill="1" applyBorder="1"/>
    <xf numFmtId="4" fontId="0" fillId="5" borderId="0" xfId="0" applyNumberFormat="1" applyFill="1"/>
    <xf numFmtId="164" fontId="0" fillId="5" borderId="1" xfId="0" applyNumberFormat="1" applyFill="1" applyBorder="1"/>
    <xf numFmtId="3" fontId="0" fillId="5" borderId="4" xfId="0" applyNumberFormat="1" applyFill="1" applyBorder="1"/>
    <xf numFmtId="4" fontId="0" fillId="5" borderId="4" xfId="0" applyNumberFormat="1" applyFill="1" applyBorder="1"/>
    <xf numFmtId="164" fontId="0" fillId="5" borderId="4" xfId="0" applyNumberFormat="1" applyFill="1" applyBorder="1"/>
    <xf numFmtId="0" fontId="0" fillId="5" borderId="0" xfId="0" applyFill="1"/>
    <xf numFmtId="164" fontId="0" fillId="5" borderId="3" xfId="0" applyNumberFormat="1" applyFill="1" applyBorder="1"/>
    <xf numFmtId="3" fontId="1" fillId="6" borderId="0" xfId="0" applyNumberFormat="1" applyFont="1" applyFill="1"/>
    <xf numFmtId="3" fontId="0" fillId="6" borderId="0" xfId="0" applyNumberFormat="1" applyFill="1"/>
    <xf numFmtId="4" fontId="0" fillId="7" borderId="3" xfId="0" applyNumberFormat="1" applyFill="1" applyBorder="1"/>
    <xf numFmtId="3" fontId="0" fillId="7" borderId="3" xfId="0" applyNumberFormat="1" applyFill="1" applyBorder="1"/>
    <xf numFmtId="3" fontId="0" fillId="6" borderId="4" xfId="0" applyNumberFormat="1" applyFill="1" applyBorder="1"/>
    <xf numFmtId="4" fontId="0" fillId="6" borderId="4" xfId="0" applyNumberFormat="1" applyFill="1" applyBorder="1"/>
    <xf numFmtId="165" fontId="0" fillId="0" borderId="1" xfId="0" applyNumberFormat="1" applyBorder="1"/>
    <xf numFmtId="165" fontId="0" fillId="0" borderId="3" xfId="0" applyNumberFormat="1" applyBorder="1"/>
    <xf numFmtId="165" fontId="0" fillId="0" borderId="4" xfId="0" applyNumberFormat="1" applyBorder="1"/>
    <xf numFmtId="165" fontId="0" fillId="0" borderId="0" xfId="0" applyNumberFormat="1"/>
    <xf numFmtId="17" fontId="1" fillId="0" borderId="0" xfId="0" applyNumberFormat="1" applyFont="1"/>
    <xf numFmtId="17" fontId="1" fillId="0" borderId="0" xfId="0" applyNumberFormat="1" applyFont="1" applyAlignment="1">
      <alignment horizontal="center"/>
    </xf>
    <xf numFmtId="4" fontId="0" fillId="8" borderId="0" xfId="0" applyNumberFormat="1" applyFill="1"/>
    <xf numFmtId="0" fontId="0" fillId="0" borderId="0" xfId="0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5" fontId="0" fillId="0" borderId="1" xfId="0" applyNumberFormat="1" applyBorder="1"/>
    <xf numFmtId="5" fontId="1" fillId="2" borderId="1" xfId="0" applyNumberFormat="1" applyFont="1" applyFill="1" applyBorder="1"/>
    <xf numFmtId="3" fontId="10" fillId="0" borderId="0" xfId="0" applyNumberFormat="1" applyFont="1" applyAlignment="1">
      <alignment horizontal="center"/>
    </xf>
    <xf numFmtId="4" fontId="11" fillId="0" borderId="0" xfId="0" applyNumberFormat="1" applyFont="1"/>
    <xf numFmtId="9" fontId="0" fillId="0" borderId="0" xfId="1" applyFont="1"/>
    <xf numFmtId="9" fontId="0" fillId="0" borderId="0" xfId="1" applyFont="1" applyAlignment="1"/>
    <xf numFmtId="17" fontId="1" fillId="4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11" borderId="0" xfId="0" applyFont="1" applyFill="1" applyAlignment="1">
      <alignment horizontal="center" vertical="center" wrapText="1"/>
    </xf>
    <xf numFmtId="14" fontId="0" fillId="0" borderId="0" xfId="0" applyNumberFormat="1"/>
    <xf numFmtId="1" fontId="0" fillId="0" borderId="0" xfId="0" applyNumberFormat="1"/>
    <xf numFmtId="3" fontId="0" fillId="12" borderId="0" xfId="0" applyNumberFormat="1" applyFill="1"/>
    <xf numFmtId="3" fontId="0" fillId="11" borderId="0" xfId="0" applyNumberFormat="1" applyFill="1"/>
    <xf numFmtId="4" fontId="0" fillId="11" borderId="0" xfId="0" applyNumberFormat="1" applyFill="1"/>
    <xf numFmtId="3" fontId="0" fillId="2" borderId="0" xfId="0" applyNumberFormat="1" applyFill="1"/>
    <xf numFmtId="14" fontId="0" fillId="2" borderId="0" xfId="0" applyNumberFormat="1" applyFill="1"/>
    <xf numFmtId="14" fontId="0" fillId="12" borderId="0" xfId="0" applyNumberFormat="1" applyFill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0</xdr:rowOff>
    </xdr:from>
    <xdr:to>
      <xdr:col>18</xdr:col>
      <xdr:colOff>304800</xdr:colOff>
      <xdr:row>3</xdr:row>
      <xdr:rowOff>114300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B363942-DD54-4853-9F43-C483E5F8F880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18</xdr:col>
      <xdr:colOff>0</xdr:colOff>
      <xdr:row>3</xdr:row>
      <xdr:rowOff>0</xdr:rowOff>
    </xdr:from>
    <xdr:ext cx="304800" cy="3048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DE79F6C7-91B8-401B-A614-779A3343E191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4</xdr:row>
      <xdr:rowOff>0</xdr:rowOff>
    </xdr:from>
    <xdr:ext cx="304800" cy="3048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C6ECB6FA-4B71-41E1-8C52-C8ED7F75B6FE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5</xdr:row>
      <xdr:rowOff>0</xdr:rowOff>
    </xdr:from>
    <xdr:ext cx="304800" cy="3048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25B65DCF-AF9A-4049-99A9-659DFEE6D1F8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5</xdr:row>
      <xdr:rowOff>0</xdr:rowOff>
    </xdr:from>
    <xdr:ext cx="304800" cy="3048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F9B27B34-8B39-4B2B-9E9F-3FE572F60B18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6</xdr:row>
      <xdr:rowOff>0</xdr:rowOff>
    </xdr:from>
    <xdr:ext cx="304800" cy="3048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469B56F7-170B-4B5E-8663-D8588C21B7BE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6</xdr:row>
      <xdr:rowOff>0</xdr:rowOff>
    </xdr:from>
    <xdr:ext cx="304800" cy="3048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58CE0E2-1D8F-494B-B0E0-05B10C399060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7</xdr:row>
      <xdr:rowOff>0</xdr:rowOff>
    </xdr:from>
    <xdr:ext cx="304800" cy="3048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8F54CB5F-73F2-46BE-9E30-69E855D8C456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7</xdr:row>
      <xdr:rowOff>0</xdr:rowOff>
    </xdr:from>
    <xdr:ext cx="304800" cy="3048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C0C8AAB-072A-486A-B728-B5B2B9E419C8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8</xdr:row>
      <xdr:rowOff>0</xdr:rowOff>
    </xdr:from>
    <xdr:ext cx="304800" cy="3048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8D8FF1AB-347E-46F3-973A-3DC247C556B1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8</xdr:row>
      <xdr:rowOff>0</xdr:rowOff>
    </xdr:from>
    <xdr:ext cx="304800" cy="3048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48556F3-EDA3-4FBE-B94D-81065EF41E97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</xdr:row>
      <xdr:rowOff>0</xdr:rowOff>
    </xdr:from>
    <xdr:ext cx="304800" cy="3048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262D5152-1C67-49E5-8693-4561AE9189F2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</xdr:row>
      <xdr:rowOff>0</xdr:rowOff>
    </xdr:from>
    <xdr:ext cx="304800" cy="3048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85D56EE8-26ED-47FC-961E-DADFC78CF1FE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10</xdr:row>
      <xdr:rowOff>0</xdr:rowOff>
    </xdr:from>
    <xdr:ext cx="304800" cy="3048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9300DD0E-697E-47FC-940C-15C647390ED8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10</xdr:row>
      <xdr:rowOff>0</xdr:rowOff>
    </xdr:from>
    <xdr:ext cx="304800" cy="3048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BB76B4EE-75A7-42CA-B206-32DCCFA2811D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11</xdr:row>
      <xdr:rowOff>0</xdr:rowOff>
    </xdr:from>
    <xdr:ext cx="304800" cy="3048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664716DC-0A85-4F09-B671-D2EB78A85F9A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11</xdr:row>
      <xdr:rowOff>0</xdr:rowOff>
    </xdr:from>
    <xdr:ext cx="304800" cy="3048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39067B54-E76C-43D0-BB6F-3DA64D485820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12</xdr:row>
      <xdr:rowOff>0</xdr:rowOff>
    </xdr:from>
    <xdr:ext cx="304800" cy="3048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1A693F52-9237-4121-A95B-73ED4C6B183E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12</xdr:row>
      <xdr:rowOff>0</xdr:rowOff>
    </xdr:from>
    <xdr:ext cx="304800" cy="3048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CC320A5D-3CDB-4CEB-AB43-CCA2859EC695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13</xdr:row>
      <xdr:rowOff>0</xdr:rowOff>
    </xdr:from>
    <xdr:ext cx="304800" cy="3048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8CAAEB5F-54CC-4FDE-BA73-2419540E15C0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13</xdr:row>
      <xdr:rowOff>0</xdr:rowOff>
    </xdr:from>
    <xdr:ext cx="304800" cy="3048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DE32160B-8132-4F54-982F-6620435C4DBF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14</xdr:row>
      <xdr:rowOff>0</xdr:rowOff>
    </xdr:from>
    <xdr:ext cx="304800" cy="3048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C5FF900-7495-4E48-B30F-73A18FA2C9B4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14</xdr:row>
      <xdr:rowOff>0</xdr:rowOff>
    </xdr:from>
    <xdr:ext cx="304800" cy="3048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754C1766-13BE-4634-BD80-F21C04E92A82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15</xdr:row>
      <xdr:rowOff>0</xdr:rowOff>
    </xdr:from>
    <xdr:ext cx="304800" cy="3048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BF3B3C83-E3E7-462B-B32C-52F7AD6ED9FC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15</xdr:row>
      <xdr:rowOff>0</xdr:rowOff>
    </xdr:from>
    <xdr:ext cx="304800" cy="3048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B2AED9A2-A7A1-49B8-AA7D-94A35DC4402B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16</xdr:row>
      <xdr:rowOff>0</xdr:rowOff>
    </xdr:from>
    <xdr:ext cx="304800" cy="3048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E7061D1C-6342-4BE9-8ED5-0A1CC9B413AA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8A746-27AE-420C-9799-090FBEA2B211}">
  <dimension ref="A4:X36"/>
  <sheetViews>
    <sheetView workbookViewId="0">
      <selection activeCell="L35" sqref="L35"/>
    </sheetView>
  </sheetViews>
  <sheetFormatPr baseColWidth="10" defaultRowHeight="15" x14ac:dyDescent="0.25"/>
  <cols>
    <col min="1" max="1" width="18.7109375" bestFit="1" customWidth="1"/>
    <col min="2" max="12" width="9.140625" bestFit="1" customWidth="1"/>
    <col min="13" max="13" width="9.140625" customWidth="1"/>
    <col min="14" max="14" width="3.28515625" customWidth="1"/>
    <col min="15" max="15" width="10.140625" bestFit="1" customWidth="1"/>
    <col min="16" max="16" width="3.28515625" customWidth="1"/>
  </cols>
  <sheetData>
    <row r="4" spans="1:24" x14ac:dyDescent="0.25">
      <c r="A4" s="29" t="s">
        <v>27</v>
      </c>
      <c r="B4" s="66">
        <v>45658</v>
      </c>
      <c r="C4" s="66">
        <v>45689</v>
      </c>
      <c r="D4" s="66">
        <v>45717</v>
      </c>
      <c r="E4" s="66">
        <v>45748</v>
      </c>
      <c r="F4" s="66">
        <v>45778</v>
      </c>
      <c r="G4" s="66">
        <v>45809</v>
      </c>
      <c r="H4" s="66">
        <v>45839</v>
      </c>
      <c r="I4" s="66">
        <v>45870</v>
      </c>
      <c r="J4" s="66">
        <v>45901</v>
      </c>
      <c r="K4" s="66">
        <v>45931</v>
      </c>
      <c r="L4" s="66">
        <v>45962</v>
      </c>
      <c r="M4" s="66">
        <v>45992</v>
      </c>
      <c r="N4" s="66"/>
      <c r="O4" s="67" t="s">
        <v>28</v>
      </c>
      <c r="P4" s="66"/>
    </row>
    <row r="5" spans="1:24" x14ac:dyDescent="0.25">
      <c r="A5" t="s">
        <v>29</v>
      </c>
      <c r="B5" s="27">
        <f>+B18</f>
        <v>131.88999999999999</v>
      </c>
      <c r="C5" s="27">
        <f t="shared" ref="C5:G5" si="0">+C18</f>
        <v>133.86000000000001</v>
      </c>
      <c r="D5" s="27">
        <f t="shared" si="0"/>
        <v>161.38999999999999</v>
      </c>
      <c r="E5" s="27">
        <f t="shared" si="0"/>
        <v>212.7</v>
      </c>
      <c r="F5" s="27">
        <f t="shared" si="0"/>
        <v>250.32</v>
      </c>
      <c r="G5" s="27">
        <f t="shared" si="0"/>
        <v>208.62</v>
      </c>
      <c r="H5" s="27">
        <f t="shared" ref="H5:I5" si="1">+H18</f>
        <v>258.22000000000003</v>
      </c>
      <c r="I5" s="27">
        <f t="shared" si="1"/>
        <v>260</v>
      </c>
      <c r="J5" s="27">
        <f t="shared" ref="J5:K5" si="2">+J18</f>
        <v>182.5</v>
      </c>
      <c r="K5" s="27">
        <f t="shared" si="2"/>
        <v>145.63999999999999</v>
      </c>
      <c r="L5" s="27">
        <f t="shared" ref="L5:M5" si="3">+L18</f>
        <v>106.3</v>
      </c>
      <c r="M5" s="27">
        <f t="shared" si="3"/>
        <v>109.47</v>
      </c>
      <c r="N5" s="66"/>
      <c r="O5" s="27">
        <f t="shared" ref="O5:O10" si="4">SUM(B5:N5)</f>
        <v>2160.91</v>
      </c>
      <c r="P5" s="66"/>
    </row>
    <row r="6" spans="1:24" x14ac:dyDescent="0.25">
      <c r="A6" t="s">
        <v>30</v>
      </c>
      <c r="B6" s="27">
        <f>+B19</f>
        <v>73.412389112138911</v>
      </c>
      <c r="C6" s="27">
        <f t="shared" ref="C6:G6" si="5">+C19</f>
        <v>67.843269087105924</v>
      </c>
      <c r="D6" s="27">
        <f t="shared" si="5"/>
        <v>67.533304417869772</v>
      </c>
      <c r="E6" s="27">
        <f t="shared" si="5"/>
        <v>40.335919134931835</v>
      </c>
      <c r="F6" s="27">
        <f t="shared" si="5"/>
        <v>26.228627356983065</v>
      </c>
      <c r="G6" s="27">
        <f t="shared" si="5"/>
        <v>26.794890231042086</v>
      </c>
      <c r="H6" s="27">
        <f t="shared" ref="H6:I6" si="6">+H19</f>
        <v>53.173689102315848</v>
      </c>
      <c r="I6" s="27">
        <f t="shared" si="6"/>
        <v>53.846153846153847</v>
      </c>
      <c r="J6" s="27">
        <f t="shared" ref="J6:K6" si="7">+J19</f>
        <v>44.193479452054795</v>
      </c>
      <c r="K6" s="27">
        <f t="shared" si="7"/>
        <v>40.858486679483661</v>
      </c>
      <c r="L6" s="27">
        <f t="shared" ref="L6:M6" si="8">+L19</f>
        <v>53.188805268109128</v>
      </c>
      <c r="M6" s="27">
        <f t="shared" si="8"/>
        <v>43.086781766694074</v>
      </c>
      <c r="N6" s="66"/>
      <c r="O6" s="27">
        <f t="shared" si="4"/>
        <v>590.49579545488302</v>
      </c>
      <c r="P6" s="66"/>
    </row>
    <row r="7" spans="1:24" x14ac:dyDescent="0.25">
      <c r="A7" t="s">
        <v>31</v>
      </c>
      <c r="B7" s="68">
        <f>6500</f>
        <v>6500</v>
      </c>
      <c r="C7" s="68">
        <f>6500</f>
        <v>6500</v>
      </c>
      <c r="D7" s="68">
        <f>6500</f>
        <v>6500</v>
      </c>
      <c r="E7" s="68">
        <f>6500</f>
        <v>6500</v>
      </c>
      <c r="F7" s="68">
        <v>6500</v>
      </c>
      <c r="G7" s="68">
        <v>6500</v>
      </c>
      <c r="H7" s="68">
        <v>6500</v>
      </c>
      <c r="I7" s="68">
        <v>6500</v>
      </c>
      <c r="J7" s="68">
        <v>6500</v>
      </c>
      <c r="K7" s="68">
        <v>6500</v>
      </c>
      <c r="L7" s="68">
        <v>6500</v>
      </c>
      <c r="M7" s="68">
        <v>6500</v>
      </c>
      <c r="N7" s="66"/>
      <c r="O7" s="68">
        <f t="shared" si="4"/>
        <v>78000</v>
      </c>
      <c r="P7" s="66"/>
      <c r="R7" s="96" t="s">
        <v>32</v>
      </c>
      <c r="S7" s="96"/>
      <c r="T7" s="96"/>
      <c r="U7" s="96"/>
      <c r="V7" s="96"/>
    </row>
    <row r="8" spans="1:24" x14ac:dyDescent="0.25">
      <c r="A8" t="s">
        <v>33</v>
      </c>
      <c r="B8" s="68">
        <v>8266.6666666666661</v>
      </c>
      <c r="C8" s="68">
        <v>8266.6666666666661</v>
      </c>
      <c r="D8" s="68">
        <v>8266.6666666666661</v>
      </c>
      <c r="E8" s="68">
        <v>8266.6666666666661</v>
      </c>
      <c r="F8" s="68">
        <v>8266.6666666666661</v>
      </c>
      <c r="G8" s="68">
        <v>8266.6666666666661</v>
      </c>
      <c r="H8" s="68">
        <v>8266.6666666666661</v>
      </c>
      <c r="I8" s="68">
        <v>8266.6666666666661</v>
      </c>
      <c r="J8" s="68">
        <v>8266.6666666666661</v>
      </c>
      <c r="K8" s="68">
        <v>8266.6666666666661</v>
      </c>
      <c r="L8" s="68">
        <v>8266.6666666666661</v>
      </c>
      <c r="M8" s="68">
        <v>8266.6666666666661</v>
      </c>
      <c r="N8" s="66"/>
      <c r="O8" s="68">
        <f t="shared" si="4"/>
        <v>99200.000000000015</v>
      </c>
      <c r="P8" s="66"/>
      <c r="S8" s="69" t="s">
        <v>34</v>
      </c>
      <c r="T8" s="69" t="s">
        <v>35</v>
      </c>
      <c r="U8" s="69" t="s">
        <v>36</v>
      </c>
    </row>
    <row r="9" spans="1:24" x14ac:dyDescent="0.25">
      <c r="A9" t="s">
        <v>37</v>
      </c>
      <c r="B9" s="68">
        <f>+B22</f>
        <v>2412.12</v>
      </c>
      <c r="C9" s="68">
        <f t="shared" ref="C9:G9" si="9">+C22</f>
        <v>2390.11</v>
      </c>
      <c r="D9" s="68">
        <f t="shared" si="9"/>
        <v>2368.02</v>
      </c>
      <c r="E9" s="68">
        <f t="shared" si="9"/>
        <v>2345.85</v>
      </c>
      <c r="F9" s="68">
        <f t="shared" si="9"/>
        <v>2323.59</v>
      </c>
      <c r="G9" s="68">
        <f t="shared" si="9"/>
        <v>2301.25</v>
      </c>
      <c r="H9" s="68">
        <f t="shared" ref="H9:I9" si="10">+H22</f>
        <v>2278.8200000000002</v>
      </c>
      <c r="I9" s="68">
        <f t="shared" si="10"/>
        <v>2256.3110018552261</v>
      </c>
      <c r="J9" s="68">
        <f t="shared" ref="J9:K9" si="11">+J22</f>
        <v>2233.7199999999998</v>
      </c>
      <c r="K9" s="68">
        <f t="shared" si="11"/>
        <v>2211.04</v>
      </c>
      <c r="L9" s="68">
        <f t="shared" ref="L9:M9" si="12">+L22</f>
        <v>2188.2800000000002</v>
      </c>
      <c r="M9" s="68">
        <f t="shared" si="12"/>
        <v>2165.4299999999998</v>
      </c>
      <c r="N9" s="66"/>
      <c r="O9" s="68">
        <f t="shared" si="4"/>
        <v>27474.541001855228</v>
      </c>
      <c r="P9" s="66"/>
      <c r="R9" s="70" t="s">
        <v>38</v>
      </c>
      <c r="S9" s="71">
        <f>+O18*1000</f>
        <v>2160910</v>
      </c>
      <c r="T9" s="71">
        <f>+X9</f>
        <v>2111315</v>
      </c>
      <c r="U9" s="71">
        <f>+T9-S9</f>
        <v>-49595</v>
      </c>
      <c r="V9" s="72">
        <f>+U9/T9</f>
        <v>-2.3490099771943079E-2</v>
      </c>
      <c r="X9" s="5">
        <v>2111315</v>
      </c>
    </row>
    <row r="10" spans="1:24" x14ac:dyDescent="0.25">
      <c r="A10" t="s">
        <v>39</v>
      </c>
      <c r="B10" s="68">
        <f>+B23</f>
        <v>5876.71</v>
      </c>
      <c r="C10" s="68">
        <f t="shared" ref="C10:G10" si="13">+C23</f>
        <v>5898.72</v>
      </c>
      <c r="D10" s="68">
        <f t="shared" si="13"/>
        <v>5920.82</v>
      </c>
      <c r="E10" s="68">
        <f t="shared" si="13"/>
        <v>5972.99</v>
      </c>
      <c r="F10" s="68">
        <f t="shared" si="13"/>
        <v>5965.25</v>
      </c>
      <c r="G10" s="68">
        <f t="shared" si="13"/>
        <v>5987.59</v>
      </c>
      <c r="H10" s="68">
        <f t="shared" ref="H10" si="14">+H23</f>
        <v>6010.02</v>
      </c>
      <c r="I10" s="68">
        <f>+I23</f>
        <v>6010.02</v>
      </c>
      <c r="J10" s="68">
        <f>+J23</f>
        <v>6055.12</v>
      </c>
      <c r="K10" s="68">
        <f>+K23</f>
        <v>6077.8</v>
      </c>
      <c r="L10" s="68">
        <f>+L23</f>
        <v>6100.55</v>
      </c>
      <c r="M10" s="68">
        <f>+M23</f>
        <v>6123.41</v>
      </c>
      <c r="N10" s="66"/>
      <c r="O10" s="68">
        <f t="shared" si="4"/>
        <v>71999.000000000015</v>
      </c>
      <c r="P10" s="66"/>
      <c r="R10" s="70" t="s">
        <v>40</v>
      </c>
      <c r="S10" s="73">
        <v>0.12461416393820025</v>
      </c>
      <c r="T10" s="73">
        <v>0.12078105536371683</v>
      </c>
      <c r="U10" s="73">
        <f>+T10-S10</f>
        <v>-3.8331085744834209E-3</v>
      </c>
      <c r="V10" s="72">
        <f>+U10/T10</f>
        <v>-3.1736008291536291E-2</v>
      </c>
    </row>
    <row r="11" spans="1:24" x14ac:dyDescent="0.25"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66"/>
      <c r="O11" s="27"/>
      <c r="P11" s="66"/>
    </row>
    <row r="12" spans="1:24" x14ac:dyDescent="0.25">
      <c r="A12" s="29" t="s">
        <v>41</v>
      </c>
      <c r="B12" s="28">
        <f t="shared" ref="B12:G12" si="15">SUM(B7:B11)</f>
        <v>23055.496666666666</v>
      </c>
      <c r="C12" s="28">
        <f t="shared" si="15"/>
        <v>23055.496666666666</v>
      </c>
      <c r="D12" s="28">
        <f t="shared" si="15"/>
        <v>23055.506666666664</v>
      </c>
      <c r="E12" s="28">
        <f t="shared" si="15"/>
        <v>23085.506666666668</v>
      </c>
      <c r="F12" s="28">
        <f t="shared" si="15"/>
        <v>23055.506666666668</v>
      </c>
      <c r="G12" s="28">
        <f t="shared" si="15"/>
        <v>23055.506666666664</v>
      </c>
      <c r="H12" s="28">
        <f t="shared" ref="H12:I12" si="16">SUM(H7:H11)</f>
        <v>23055.506666666668</v>
      </c>
      <c r="I12" s="28">
        <f t="shared" si="16"/>
        <v>23032.997668521894</v>
      </c>
      <c r="J12" s="28">
        <f t="shared" ref="J12:K12" si="17">SUM(J7:J11)</f>
        <v>23055.506666666664</v>
      </c>
      <c r="K12" s="28">
        <f t="shared" si="17"/>
        <v>23055.506666666664</v>
      </c>
      <c r="L12" s="28">
        <f t="shared" ref="L12:M12" si="18">SUM(L7:L11)</f>
        <v>23055.496666666666</v>
      </c>
      <c r="M12" s="28">
        <f t="shared" si="18"/>
        <v>23055.506666666664</v>
      </c>
      <c r="N12" s="66"/>
      <c r="O12" s="28">
        <f>SUM(O7:O11)</f>
        <v>276673.54100185522</v>
      </c>
      <c r="P12" s="66"/>
      <c r="R12" s="93" t="s">
        <v>42</v>
      </c>
      <c r="S12" s="94"/>
      <c r="T12" s="95"/>
      <c r="U12" s="74">
        <f>+U10*S9</f>
        <v>-8283.0026496869687</v>
      </c>
    </row>
    <row r="13" spans="1:24" x14ac:dyDescent="0.25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66"/>
      <c r="O13" s="27"/>
      <c r="P13" s="66"/>
      <c r="R13" s="93" t="s">
        <v>43</v>
      </c>
      <c r="S13" s="94"/>
      <c r="T13" s="95"/>
      <c r="U13" s="74">
        <f>+U9*T10</f>
        <v>-5990.1364407635365</v>
      </c>
    </row>
    <row r="14" spans="1:24" x14ac:dyDescent="0.25">
      <c r="A14" t="s">
        <v>15</v>
      </c>
      <c r="B14" s="27">
        <f t="shared" ref="B14:D14" si="19">+B7+B8</f>
        <v>14766.666666666666</v>
      </c>
      <c r="C14" s="27">
        <f t="shared" si="19"/>
        <v>14766.666666666666</v>
      </c>
      <c r="D14" s="27">
        <f t="shared" si="19"/>
        <v>14766.666666666666</v>
      </c>
      <c r="E14" s="27">
        <f t="shared" ref="E14:J14" si="20">+E7+E8</f>
        <v>14766.666666666666</v>
      </c>
      <c r="F14" s="27">
        <f t="shared" si="20"/>
        <v>14766.666666666666</v>
      </c>
      <c r="G14" s="27">
        <f t="shared" si="20"/>
        <v>14766.666666666666</v>
      </c>
      <c r="H14" s="27">
        <f t="shared" si="20"/>
        <v>14766.666666666666</v>
      </c>
      <c r="I14" s="27">
        <f t="shared" si="20"/>
        <v>14766.666666666666</v>
      </c>
      <c r="J14" s="27">
        <f t="shared" si="20"/>
        <v>14766.666666666666</v>
      </c>
      <c r="K14" s="27">
        <f t="shared" ref="K14:L14" si="21">+K7+K8</f>
        <v>14766.666666666666</v>
      </c>
      <c r="L14" s="27">
        <f t="shared" si="21"/>
        <v>14766.666666666666</v>
      </c>
      <c r="M14" s="27">
        <f t="shared" ref="M14" si="22">+M7+M8</f>
        <v>14766.666666666666</v>
      </c>
      <c r="N14" s="66"/>
      <c r="O14" s="27">
        <f>+O7+O8</f>
        <v>177200</v>
      </c>
      <c r="P14" s="66"/>
      <c r="U14" s="75">
        <f>SUM(U12:U13)</f>
        <v>-14273.139090450506</v>
      </c>
    </row>
    <row r="15" spans="1:24" x14ac:dyDescent="0.25"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66"/>
      <c r="O15" s="27"/>
      <c r="P15" s="66"/>
      <c r="U15" s="76">
        <f>+U14+14273</f>
        <v>-0.13909045050604618</v>
      </c>
    </row>
    <row r="16" spans="1:24" x14ac:dyDescent="0.25"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66"/>
      <c r="O16" s="27"/>
      <c r="P16" s="66"/>
      <c r="U16" s="5"/>
    </row>
    <row r="17" spans="1:24" x14ac:dyDescent="0.25">
      <c r="A17" s="29" t="s">
        <v>44</v>
      </c>
      <c r="B17" s="66">
        <v>45658</v>
      </c>
      <c r="C17" s="66">
        <v>45689</v>
      </c>
      <c r="D17" s="66">
        <v>45717</v>
      </c>
      <c r="E17" s="66">
        <v>45748</v>
      </c>
      <c r="F17" s="66">
        <v>45778</v>
      </c>
      <c r="G17" s="66">
        <v>45809</v>
      </c>
      <c r="H17" s="66">
        <v>45839</v>
      </c>
      <c r="I17" s="66">
        <v>45870</v>
      </c>
      <c r="J17" s="66">
        <v>45901</v>
      </c>
      <c r="K17" s="66">
        <v>45931</v>
      </c>
      <c r="L17" s="66">
        <v>45962</v>
      </c>
      <c r="M17" s="66">
        <v>45992</v>
      </c>
      <c r="N17" s="66"/>
      <c r="O17" s="67" t="s">
        <v>45</v>
      </c>
      <c r="P17" s="66"/>
    </row>
    <row r="18" spans="1:24" x14ac:dyDescent="0.25">
      <c r="A18" t="s">
        <v>29</v>
      </c>
      <c r="B18" s="27">
        <v>131.88999999999999</v>
      </c>
      <c r="C18" s="27">
        <v>133.86000000000001</v>
      </c>
      <c r="D18" s="27">
        <v>161.38999999999999</v>
      </c>
      <c r="E18" s="27">
        <v>212.7</v>
      </c>
      <c r="F18" s="27">
        <v>250.32</v>
      </c>
      <c r="G18" s="27">
        <v>208.62</v>
      </c>
      <c r="H18" s="27">
        <v>258.22000000000003</v>
      </c>
      <c r="I18" s="27">
        <v>260</v>
      </c>
      <c r="J18" s="27">
        <v>182.5</v>
      </c>
      <c r="K18" s="27">
        <v>145.63999999999999</v>
      </c>
      <c r="L18" s="27">
        <v>106.3</v>
      </c>
      <c r="M18" s="27">
        <v>109.47</v>
      </c>
      <c r="N18" s="66"/>
      <c r="O18" s="27">
        <f>SUM(B18:N18)</f>
        <v>2160.91</v>
      </c>
      <c r="P18" s="66"/>
      <c r="R18" s="97" t="s">
        <v>46</v>
      </c>
      <c r="S18" s="97"/>
      <c r="T18" s="97"/>
      <c r="U18" s="97"/>
      <c r="V18" s="97"/>
    </row>
    <row r="19" spans="1:24" x14ac:dyDescent="0.25">
      <c r="A19" t="s">
        <v>30</v>
      </c>
      <c r="B19" s="27">
        <f>9682.36/B18</f>
        <v>73.412389112138911</v>
      </c>
      <c r="C19" s="27">
        <f>9081.5/C18</f>
        <v>67.843269087105924</v>
      </c>
      <c r="D19" s="27">
        <f>10899.2/D18</f>
        <v>67.533304417869772</v>
      </c>
      <c r="E19" s="27">
        <f>8579.45/E18</f>
        <v>40.335919134931835</v>
      </c>
      <c r="F19" s="27">
        <f>6565.55/F18</f>
        <v>26.228627356983065</v>
      </c>
      <c r="G19" s="27">
        <f>5589.95/G18</f>
        <v>26.794890231042086</v>
      </c>
      <c r="H19" s="27">
        <f>13730.51/H18</f>
        <v>53.173689102315848</v>
      </c>
      <c r="I19" s="27">
        <f>14000/I18</f>
        <v>53.846153846153847</v>
      </c>
      <c r="J19" s="27">
        <f>8065.31/J18</f>
        <v>44.193479452054795</v>
      </c>
      <c r="K19" s="27">
        <f>5950.63/K18</f>
        <v>40.858486679483661</v>
      </c>
      <c r="L19" s="27">
        <f>5653.97/L18</f>
        <v>53.188805268109128</v>
      </c>
      <c r="M19" s="27">
        <f>4716.71/M18</f>
        <v>43.086781766694074</v>
      </c>
      <c r="N19" s="66"/>
      <c r="O19" s="27">
        <f>+O20/O18</f>
        <v>47.44072636065362</v>
      </c>
      <c r="P19" s="66"/>
      <c r="S19" s="69" t="s">
        <v>47</v>
      </c>
      <c r="T19" s="69" t="s">
        <v>48</v>
      </c>
      <c r="U19" s="69" t="s">
        <v>36</v>
      </c>
    </row>
    <row r="20" spans="1:24" x14ac:dyDescent="0.25">
      <c r="A20" t="s">
        <v>31</v>
      </c>
      <c r="B20" s="27">
        <f t="shared" ref="B20:G20" si="23">+B18*B19</f>
        <v>9682.36</v>
      </c>
      <c r="C20" s="27">
        <f t="shared" si="23"/>
        <v>9081.5</v>
      </c>
      <c r="D20" s="27">
        <f t="shared" si="23"/>
        <v>10899.2</v>
      </c>
      <c r="E20" s="27">
        <f t="shared" si="23"/>
        <v>8579.4500000000007</v>
      </c>
      <c r="F20" s="27">
        <f t="shared" si="23"/>
        <v>6565.55</v>
      </c>
      <c r="G20" s="27">
        <f t="shared" si="23"/>
        <v>5589.95</v>
      </c>
      <c r="H20" s="27">
        <f t="shared" ref="H20:I20" si="24">+H18*H19</f>
        <v>13730.51</v>
      </c>
      <c r="I20" s="27">
        <f t="shared" si="24"/>
        <v>14000</v>
      </c>
      <c r="J20" s="27">
        <f t="shared" ref="J20:K20" si="25">+J18*J19</f>
        <v>8065.31</v>
      </c>
      <c r="K20" s="27">
        <f t="shared" si="25"/>
        <v>5950.63</v>
      </c>
      <c r="L20" s="27">
        <f t="shared" ref="L20:M20" si="26">+L18*L19</f>
        <v>5653.97</v>
      </c>
      <c r="M20" s="27">
        <f t="shared" si="26"/>
        <v>4716.71</v>
      </c>
      <c r="N20" s="66"/>
      <c r="O20" s="27">
        <f>SUM(B20:N20)</f>
        <v>102515.14000000001</v>
      </c>
      <c r="P20" s="66"/>
      <c r="R20" s="70" t="s">
        <v>38</v>
      </c>
      <c r="S20" s="1">
        <f>+S9</f>
        <v>2160910</v>
      </c>
      <c r="T20" s="1">
        <f>+X20</f>
        <v>2281635</v>
      </c>
      <c r="U20" s="71">
        <f>+T20-S20</f>
        <v>120725</v>
      </c>
      <c r="V20" s="72">
        <f>+U20/T20</f>
        <v>5.2911618203612759E-2</v>
      </c>
      <c r="X20" s="5">
        <v>2281635</v>
      </c>
    </row>
    <row r="21" spans="1:24" x14ac:dyDescent="0.25">
      <c r="A21" t="s">
        <v>33</v>
      </c>
      <c r="B21" s="27">
        <v>7873.56</v>
      </c>
      <c r="C21" s="27">
        <v>7873.56</v>
      </c>
      <c r="D21" s="27">
        <v>7873.56</v>
      </c>
      <c r="E21" s="27">
        <v>7873.56</v>
      </c>
      <c r="F21" s="27">
        <v>7873.56</v>
      </c>
      <c r="G21" s="27">
        <v>7873.56</v>
      </c>
      <c r="H21" s="27">
        <v>7873.56</v>
      </c>
      <c r="I21" s="27">
        <v>7873.56</v>
      </c>
      <c r="J21" s="27">
        <v>7873.56</v>
      </c>
      <c r="K21" s="27">
        <v>7873.56</v>
      </c>
      <c r="L21" s="27">
        <v>7873.56</v>
      </c>
      <c r="M21" s="27">
        <v>7873.56</v>
      </c>
      <c r="N21" s="66"/>
      <c r="O21" s="27">
        <f>SUM(B21:N21)</f>
        <v>94482.719999999987</v>
      </c>
      <c r="P21" s="66"/>
      <c r="R21" s="70" t="s">
        <v>40</v>
      </c>
      <c r="S21" s="73">
        <v>0.12351623930464765</v>
      </c>
      <c r="T21" s="73">
        <v>0.10799599204691442</v>
      </c>
      <c r="U21" s="73">
        <f>+T21-S21</f>
        <v>-1.5520247257733238E-2</v>
      </c>
      <c r="V21" s="72">
        <f>+U21/T21</f>
        <v>-0.14371132635173262</v>
      </c>
    </row>
    <row r="22" spans="1:24" x14ac:dyDescent="0.25">
      <c r="A22" t="s">
        <v>37</v>
      </c>
      <c r="B22" s="27">
        <v>2412.12</v>
      </c>
      <c r="C22" s="27">
        <v>2390.11</v>
      </c>
      <c r="D22" s="27">
        <v>2368.02</v>
      </c>
      <c r="E22" s="27">
        <v>2345.85</v>
      </c>
      <c r="F22" s="27">
        <v>2323.59</v>
      </c>
      <c r="G22" s="27">
        <v>2301.25</v>
      </c>
      <c r="H22" s="27">
        <v>2278.8200000000002</v>
      </c>
      <c r="I22" s="27">
        <v>2256.3110018552261</v>
      </c>
      <c r="J22" s="27">
        <v>2233.7199999999998</v>
      </c>
      <c r="K22" s="27">
        <v>2211.04</v>
      </c>
      <c r="L22" s="27">
        <v>2188.2800000000002</v>
      </c>
      <c r="M22" s="27">
        <v>2165.4299999999998</v>
      </c>
      <c r="N22" s="66"/>
      <c r="O22" s="27">
        <f>SUM(B22:N22)</f>
        <v>27474.541001855228</v>
      </c>
      <c r="P22" s="66"/>
    </row>
    <row r="23" spans="1:24" x14ac:dyDescent="0.25">
      <c r="A23" t="s">
        <v>39</v>
      </c>
      <c r="B23" s="27">
        <v>5876.71</v>
      </c>
      <c r="C23" s="27">
        <v>5898.72</v>
      </c>
      <c r="D23" s="27">
        <v>5920.82</v>
      </c>
      <c r="E23" s="27">
        <v>5972.99</v>
      </c>
      <c r="F23" s="27">
        <v>5965.25</v>
      </c>
      <c r="G23" s="27">
        <v>5987.59</v>
      </c>
      <c r="H23" s="27">
        <v>6010.02</v>
      </c>
      <c r="I23" s="27">
        <v>6010.02</v>
      </c>
      <c r="J23" s="27">
        <v>6055.12</v>
      </c>
      <c r="K23" s="27">
        <v>6077.8</v>
      </c>
      <c r="L23" s="27">
        <v>6100.55</v>
      </c>
      <c r="M23" s="27">
        <v>6123.41</v>
      </c>
      <c r="N23" s="66"/>
      <c r="O23" s="27">
        <f>SUM(B23:N23)</f>
        <v>71999.000000000015</v>
      </c>
      <c r="P23" s="66"/>
      <c r="R23" s="93" t="s">
        <v>49</v>
      </c>
      <c r="S23" s="94"/>
      <c r="T23" s="95"/>
      <c r="U23" s="74">
        <f>+U21*S20</f>
        <v>-33537.857501708335</v>
      </c>
    </row>
    <row r="24" spans="1:24" x14ac:dyDescent="0.25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66"/>
      <c r="O24" s="27"/>
      <c r="P24" s="66"/>
      <c r="R24" s="93" t="s">
        <v>43</v>
      </c>
      <c r="S24" s="94"/>
      <c r="T24" s="95"/>
      <c r="U24" s="74">
        <f>+U20*T21</f>
        <v>13037.816139863742</v>
      </c>
    </row>
    <row r="25" spans="1:24" x14ac:dyDescent="0.25">
      <c r="A25" s="29" t="s">
        <v>41</v>
      </c>
      <c r="B25" s="28">
        <f t="shared" ref="B25:G25" si="27">SUM(B20:B24)</f>
        <v>25844.75</v>
      </c>
      <c r="C25" s="28">
        <f t="shared" si="27"/>
        <v>25243.890000000003</v>
      </c>
      <c r="D25" s="28">
        <f t="shared" si="27"/>
        <v>27061.600000000002</v>
      </c>
      <c r="E25" s="28">
        <f t="shared" si="27"/>
        <v>24771.85</v>
      </c>
      <c r="F25" s="28">
        <f t="shared" si="27"/>
        <v>22727.95</v>
      </c>
      <c r="G25" s="28">
        <f t="shared" si="27"/>
        <v>21752.35</v>
      </c>
      <c r="H25" s="28">
        <f t="shared" ref="H25:I25" si="28">SUM(H20:H24)</f>
        <v>29892.91</v>
      </c>
      <c r="I25" s="28">
        <f t="shared" si="28"/>
        <v>30139.891001855227</v>
      </c>
      <c r="J25" s="28">
        <f t="shared" ref="J25:K25" si="29">SUM(J20:J24)</f>
        <v>24227.71</v>
      </c>
      <c r="K25" s="28">
        <f t="shared" si="29"/>
        <v>22113.03</v>
      </c>
      <c r="L25" s="28">
        <f t="shared" ref="L25:M25" si="30">SUM(L20:L24)</f>
        <v>21816.36</v>
      </c>
      <c r="M25" s="28">
        <f t="shared" si="30"/>
        <v>20879.11</v>
      </c>
      <c r="N25" s="66"/>
      <c r="O25" s="28">
        <f>SUM(O20:O24)</f>
        <v>296471.40100185521</v>
      </c>
      <c r="P25" s="66"/>
      <c r="U25" s="75">
        <f>SUM(U23:U24)</f>
        <v>-20500.041361844593</v>
      </c>
    </row>
    <row r="26" spans="1:24" x14ac:dyDescent="0.25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66"/>
      <c r="O26" s="27"/>
      <c r="P26" s="66"/>
      <c r="U26" s="76">
        <f>+U25+20500</f>
        <v>-4.1361844592756825E-2</v>
      </c>
    </row>
    <row r="27" spans="1:24" x14ac:dyDescent="0.25">
      <c r="A27" t="s">
        <v>15</v>
      </c>
      <c r="B27" s="27">
        <f t="shared" ref="B27:D27" si="31">+B20+B21</f>
        <v>17555.920000000002</v>
      </c>
      <c r="C27" s="27">
        <f t="shared" si="31"/>
        <v>16955.060000000001</v>
      </c>
      <c r="D27" s="27">
        <f t="shared" si="31"/>
        <v>18772.760000000002</v>
      </c>
      <c r="E27" s="27">
        <f t="shared" ref="E27:J27" si="32">+E20+E21</f>
        <v>16453.010000000002</v>
      </c>
      <c r="F27" s="27">
        <f t="shared" si="32"/>
        <v>14439.11</v>
      </c>
      <c r="G27" s="27">
        <f t="shared" si="32"/>
        <v>13463.51</v>
      </c>
      <c r="H27" s="27">
        <f t="shared" si="32"/>
        <v>21604.07</v>
      </c>
      <c r="I27" s="27">
        <f t="shared" si="32"/>
        <v>21873.56</v>
      </c>
      <c r="J27" s="27">
        <f t="shared" si="32"/>
        <v>15938.87</v>
      </c>
      <c r="K27" s="27">
        <f t="shared" ref="K27:L27" si="33">+K20+K21</f>
        <v>13824.19</v>
      </c>
      <c r="L27" s="27">
        <f t="shared" si="33"/>
        <v>13527.53</v>
      </c>
      <c r="M27" s="27">
        <f t="shared" ref="M27" si="34">+M20+M21</f>
        <v>12590.27</v>
      </c>
      <c r="N27" s="66"/>
      <c r="O27" s="27">
        <f>+O20+O21</f>
        <v>196997.86</v>
      </c>
      <c r="P27" s="66"/>
    </row>
    <row r="28" spans="1:24" x14ac:dyDescent="0.25">
      <c r="N28" s="66"/>
      <c r="P28" s="66"/>
    </row>
    <row r="29" spans="1:24" x14ac:dyDescent="0.25">
      <c r="B29" s="27">
        <f>+B27-B14</f>
        <v>2789.2533333333358</v>
      </c>
      <c r="C29" s="27">
        <f t="shared" ref="C29:E29" si="35">+C27-C14</f>
        <v>2188.3933333333352</v>
      </c>
      <c r="D29" s="27">
        <f t="shared" si="35"/>
        <v>4006.093333333336</v>
      </c>
      <c r="E29" s="27">
        <f t="shared" si="35"/>
        <v>1686.343333333336</v>
      </c>
      <c r="F29" s="27">
        <f t="shared" ref="F29:G29" si="36">+F27-F14</f>
        <v>-327.55666666666548</v>
      </c>
      <c r="G29" s="27">
        <f t="shared" si="36"/>
        <v>-1303.1566666666658</v>
      </c>
      <c r="H29" s="27">
        <f t="shared" ref="H29:I29" si="37">+H27-H14</f>
        <v>6837.4033333333336</v>
      </c>
      <c r="I29" s="27">
        <f t="shared" si="37"/>
        <v>7106.8933333333352</v>
      </c>
      <c r="J29" s="27">
        <f t="shared" ref="J29:K29" si="38">+J27-J14</f>
        <v>1172.2033333333347</v>
      </c>
      <c r="K29" s="27">
        <f t="shared" si="38"/>
        <v>-942.47666666666555</v>
      </c>
      <c r="L29" s="27">
        <f t="shared" ref="L29:M29" si="39">+L27-L14</f>
        <v>-1239.1366666666654</v>
      </c>
      <c r="M29" s="27">
        <f t="shared" si="39"/>
        <v>-2176.3966666666656</v>
      </c>
      <c r="N29" s="66"/>
      <c r="O29" s="27">
        <f>+O14-O27</f>
        <v>-19797.859999999986</v>
      </c>
      <c r="P29" s="66"/>
    </row>
    <row r="30" spans="1:24" x14ac:dyDescent="0.25">
      <c r="B30" s="27">
        <f>+B29</f>
        <v>2789.2533333333358</v>
      </c>
      <c r="C30" s="27">
        <f>+B30+C29</f>
        <v>4977.6466666666711</v>
      </c>
      <c r="D30" s="27">
        <f t="shared" ref="D30:M30" si="40">+C30+D29</f>
        <v>8983.7400000000071</v>
      </c>
      <c r="E30" s="27">
        <f t="shared" si="40"/>
        <v>10670.083333333343</v>
      </c>
      <c r="F30" s="27">
        <f t="shared" si="40"/>
        <v>10342.526666666678</v>
      </c>
      <c r="G30" s="27">
        <f t="shared" si="40"/>
        <v>9039.3700000000117</v>
      </c>
      <c r="H30" s="27">
        <f t="shared" si="40"/>
        <v>15876.773333333345</v>
      </c>
      <c r="I30" s="27">
        <f t="shared" si="40"/>
        <v>22983.666666666679</v>
      </c>
      <c r="J30" s="27">
        <f t="shared" si="40"/>
        <v>24155.870000000014</v>
      </c>
      <c r="K30" s="27">
        <f t="shared" si="40"/>
        <v>23213.393333333348</v>
      </c>
      <c r="L30" s="27">
        <f t="shared" si="40"/>
        <v>21974.256666666683</v>
      </c>
      <c r="M30" s="27">
        <f t="shared" si="40"/>
        <v>19797.860000000015</v>
      </c>
      <c r="N30" s="66"/>
      <c r="O30" s="27"/>
      <c r="P30" s="66"/>
    </row>
    <row r="31" spans="1:24" x14ac:dyDescent="0.25">
      <c r="N31" s="66"/>
      <c r="P31" s="66"/>
    </row>
    <row r="32" spans="1:24" x14ac:dyDescent="0.25">
      <c r="N32" s="66"/>
      <c r="O32" s="27">
        <v>-14400</v>
      </c>
      <c r="P32" s="66"/>
    </row>
    <row r="33" spans="14:16" x14ac:dyDescent="0.25">
      <c r="N33" s="66"/>
      <c r="P33" s="66"/>
    </row>
    <row r="34" spans="14:16" x14ac:dyDescent="0.25">
      <c r="N34" s="66"/>
      <c r="P34" s="66"/>
    </row>
    <row r="35" spans="14:16" x14ac:dyDescent="0.25">
      <c r="N35" s="66"/>
      <c r="P35" s="66"/>
    </row>
    <row r="36" spans="14:16" x14ac:dyDescent="0.25">
      <c r="N36" s="66"/>
      <c r="P36" s="66"/>
    </row>
  </sheetData>
  <mergeCells count="6">
    <mergeCell ref="R24:T24"/>
    <mergeCell ref="R7:V7"/>
    <mergeCell ref="R12:T12"/>
    <mergeCell ref="R13:T13"/>
    <mergeCell ref="R18:V18"/>
    <mergeCell ref="R23:T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D41E3-D04F-414A-912D-CACB9DB420B4}">
  <dimension ref="A4:X36"/>
  <sheetViews>
    <sheetView workbookViewId="0">
      <selection activeCell="S20" sqref="S20"/>
    </sheetView>
  </sheetViews>
  <sheetFormatPr baseColWidth="10" defaultRowHeight="15" x14ac:dyDescent="0.25"/>
  <cols>
    <col min="1" max="1" width="18.7109375" bestFit="1" customWidth="1"/>
    <col min="2" max="12" width="9.140625" bestFit="1" customWidth="1"/>
    <col min="13" max="13" width="9.140625" customWidth="1"/>
    <col min="14" max="14" width="3.28515625" customWidth="1"/>
    <col min="15" max="15" width="10.140625" bestFit="1" customWidth="1"/>
    <col min="16" max="16" width="3.28515625" customWidth="1"/>
  </cols>
  <sheetData>
    <row r="4" spans="1:24" x14ac:dyDescent="0.25">
      <c r="A4" s="29" t="s">
        <v>27</v>
      </c>
      <c r="B4" s="66">
        <v>46023</v>
      </c>
      <c r="C4" s="66">
        <v>46054</v>
      </c>
      <c r="D4" s="66">
        <v>46082</v>
      </c>
      <c r="E4" s="66">
        <v>46113</v>
      </c>
      <c r="F4" s="66">
        <v>46143</v>
      </c>
      <c r="G4" s="66">
        <v>46174</v>
      </c>
      <c r="H4" s="66">
        <v>46204</v>
      </c>
      <c r="I4" s="66">
        <v>46235</v>
      </c>
      <c r="J4" s="66">
        <v>46266</v>
      </c>
      <c r="K4" s="66">
        <v>46296</v>
      </c>
      <c r="L4" s="66">
        <v>46327</v>
      </c>
      <c r="M4" s="66">
        <v>46357</v>
      </c>
      <c r="N4" s="66"/>
      <c r="O4" s="67" t="s">
        <v>28</v>
      </c>
      <c r="P4" s="66"/>
    </row>
    <row r="5" spans="1:24" x14ac:dyDescent="0.25">
      <c r="A5" t="s">
        <v>29</v>
      </c>
      <c r="B5" s="27">
        <f t="shared" ref="B5:D6" si="0">+B18</f>
        <v>124.63</v>
      </c>
      <c r="C5" s="27">
        <f t="shared" si="0"/>
        <v>70.48</v>
      </c>
      <c r="D5" s="27">
        <f t="shared" si="0"/>
        <v>128.74</v>
      </c>
      <c r="E5" s="27">
        <f t="shared" ref="E5" si="1">+E18</f>
        <v>188.43</v>
      </c>
      <c r="F5" s="27"/>
      <c r="G5" s="27"/>
      <c r="H5" s="27"/>
      <c r="I5" s="27"/>
      <c r="J5" s="27"/>
      <c r="K5" s="27"/>
      <c r="L5" s="27"/>
      <c r="M5" s="27"/>
      <c r="N5" s="66"/>
      <c r="O5" s="27">
        <f t="shared" ref="O5:O10" si="2">SUM(B5:N5)</f>
        <v>512.28</v>
      </c>
      <c r="P5" s="66"/>
    </row>
    <row r="6" spans="1:24" x14ac:dyDescent="0.25">
      <c r="A6" t="s">
        <v>30</v>
      </c>
      <c r="B6" s="27">
        <f t="shared" si="0"/>
        <v>58.257321672149565</v>
      </c>
      <c r="C6" s="27">
        <f t="shared" si="0"/>
        <v>58.709279228149825</v>
      </c>
      <c r="D6" s="27">
        <f t="shared" si="0"/>
        <v>35.055460618300451</v>
      </c>
      <c r="E6" s="27">
        <f t="shared" ref="E6" si="3">+E19</f>
        <v>40.414212174282227</v>
      </c>
      <c r="F6" s="27"/>
      <c r="G6" s="27"/>
      <c r="H6" s="27"/>
      <c r="I6" s="27"/>
      <c r="J6" s="27"/>
      <c r="K6" s="27"/>
      <c r="L6" s="27"/>
      <c r="M6" s="27"/>
      <c r="N6" s="66"/>
      <c r="O6" s="27">
        <f t="shared" si="2"/>
        <v>192.43627369288208</v>
      </c>
      <c r="P6" s="66"/>
    </row>
    <row r="7" spans="1:24" x14ac:dyDescent="0.25">
      <c r="A7" t="s">
        <v>31</v>
      </c>
      <c r="B7" s="68">
        <f>6500</f>
        <v>6500</v>
      </c>
      <c r="C7" s="68">
        <f>6500</f>
        <v>6500</v>
      </c>
      <c r="D7" s="68">
        <f>6500</f>
        <v>6500</v>
      </c>
      <c r="E7" s="68">
        <f>6500</f>
        <v>6500</v>
      </c>
      <c r="F7" s="68"/>
      <c r="G7" s="68"/>
      <c r="H7" s="68"/>
      <c r="I7" s="68"/>
      <c r="J7" s="68"/>
      <c r="K7" s="68"/>
      <c r="L7" s="68"/>
      <c r="M7" s="68"/>
      <c r="N7" s="66"/>
      <c r="O7" s="68">
        <f t="shared" si="2"/>
        <v>26000</v>
      </c>
      <c r="P7" s="66"/>
      <c r="R7" s="96" t="s">
        <v>50</v>
      </c>
      <c r="S7" s="96"/>
      <c r="T7" s="96"/>
      <c r="U7" s="96"/>
      <c r="V7" s="96"/>
    </row>
    <row r="8" spans="1:24" x14ac:dyDescent="0.25">
      <c r="A8" t="s">
        <v>33</v>
      </c>
      <c r="B8" s="68">
        <v>8031.0312000000004</v>
      </c>
      <c r="C8" s="68">
        <v>8031.0312000000004</v>
      </c>
      <c r="D8" s="68">
        <v>8031.0312000000004</v>
      </c>
      <c r="E8" s="68">
        <v>8031.0312000000004</v>
      </c>
      <c r="F8" s="68"/>
      <c r="G8" s="68"/>
      <c r="H8" s="68"/>
      <c r="I8" s="68"/>
      <c r="J8" s="68"/>
      <c r="K8" s="68"/>
      <c r="L8" s="68"/>
      <c r="M8" s="68"/>
      <c r="N8" s="66"/>
      <c r="O8" s="68">
        <f t="shared" si="2"/>
        <v>32124.124800000001</v>
      </c>
      <c r="P8" s="66"/>
      <c r="S8" s="69" t="s">
        <v>34</v>
      </c>
      <c r="T8" s="69" t="s">
        <v>35</v>
      </c>
      <c r="U8" s="69" t="s">
        <v>36</v>
      </c>
    </row>
    <row r="9" spans="1:24" x14ac:dyDescent="0.25">
      <c r="A9" t="s">
        <v>37</v>
      </c>
      <c r="B9" s="68">
        <v>2100</v>
      </c>
      <c r="C9" s="68">
        <v>2100</v>
      </c>
      <c r="D9" s="68">
        <v>2100</v>
      </c>
      <c r="E9" s="68">
        <v>2100</v>
      </c>
      <c r="F9" s="68"/>
      <c r="G9" s="68"/>
      <c r="H9" s="68"/>
      <c r="I9" s="68"/>
      <c r="J9" s="68"/>
      <c r="K9" s="68"/>
      <c r="L9" s="68"/>
      <c r="M9" s="68"/>
      <c r="N9" s="66"/>
      <c r="O9" s="68">
        <f t="shared" si="2"/>
        <v>8400</v>
      </c>
      <c r="P9" s="66"/>
      <c r="R9" s="70" t="s">
        <v>38</v>
      </c>
      <c r="S9" s="71">
        <f>+O18*1000</f>
        <v>512280</v>
      </c>
      <c r="T9" s="71">
        <f>+X9</f>
        <v>756440</v>
      </c>
      <c r="U9" s="71">
        <f>+T9-S9</f>
        <v>244160</v>
      </c>
      <c r="V9" s="72">
        <f>+U9/T9</f>
        <v>0.32277510443657131</v>
      </c>
      <c r="X9" s="5">
        <v>756440</v>
      </c>
    </row>
    <row r="10" spans="1:24" x14ac:dyDescent="0.25">
      <c r="A10" t="s">
        <v>39</v>
      </c>
      <c r="B10" s="68">
        <v>6200</v>
      </c>
      <c r="C10" s="68">
        <v>6200</v>
      </c>
      <c r="D10" s="68">
        <v>6200</v>
      </c>
      <c r="E10" s="68">
        <v>6200</v>
      </c>
      <c r="F10" s="68"/>
      <c r="G10" s="68"/>
      <c r="H10" s="68"/>
      <c r="I10" s="68"/>
      <c r="J10" s="68"/>
      <c r="K10" s="68"/>
      <c r="L10" s="68"/>
      <c r="M10" s="68"/>
      <c r="N10" s="66"/>
      <c r="O10" s="68">
        <f t="shared" si="2"/>
        <v>24800</v>
      </c>
      <c r="P10" s="66"/>
      <c r="R10" s="70" t="s">
        <v>40</v>
      </c>
      <c r="S10" s="73">
        <v>0.14707142754051988</v>
      </c>
      <c r="T10" s="73">
        <v>0.125560191938037</v>
      </c>
      <c r="U10" s="73">
        <f>+T10-S10</f>
        <v>-2.1511235602482887E-2</v>
      </c>
      <c r="V10" s="72">
        <f>+U10/T10</f>
        <v>-0.17132209875163712</v>
      </c>
    </row>
    <row r="11" spans="1:24" x14ac:dyDescent="0.25"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66"/>
      <c r="O11" s="27"/>
      <c r="P11" s="66"/>
    </row>
    <row r="12" spans="1:24" x14ac:dyDescent="0.25">
      <c r="A12" s="29" t="s">
        <v>41</v>
      </c>
      <c r="B12" s="28">
        <f t="shared" ref="B12:M12" si="4">SUM(B7:B11)</f>
        <v>22831.031200000001</v>
      </c>
      <c r="C12" s="28">
        <f t="shared" si="4"/>
        <v>22831.031200000001</v>
      </c>
      <c r="D12" s="28">
        <f t="shared" si="4"/>
        <v>22831.031200000001</v>
      </c>
      <c r="E12" s="28">
        <f t="shared" si="4"/>
        <v>22831.031200000001</v>
      </c>
      <c r="F12" s="28">
        <f t="shared" si="4"/>
        <v>0</v>
      </c>
      <c r="G12" s="28">
        <f t="shared" si="4"/>
        <v>0</v>
      </c>
      <c r="H12" s="28">
        <f t="shared" si="4"/>
        <v>0</v>
      </c>
      <c r="I12" s="28">
        <f t="shared" si="4"/>
        <v>0</v>
      </c>
      <c r="J12" s="28">
        <f t="shared" si="4"/>
        <v>0</v>
      </c>
      <c r="K12" s="28">
        <f t="shared" si="4"/>
        <v>0</v>
      </c>
      <c r="L12" s="28">
        <f t="shared" si="4"/>
        <v>0</v>
      </c>
      <c r="M12" s="28">
        <f t="shared" si="4"/>
        <v>0</v>
      </c>
      <c r="N12" s="66"/>
      <c r="O12" s="28">
        <f>SUM(O7:O11)</f>
        <v>91324.124800000005</v>
      </c>
      <c r="P12" s="66"/>
      <c r="R12" s="93" t="s">
        <v>42</v>
      </c>
      <c r="S12" s="94"/>
      <c r="T12" s="95"/>
      <c r="U12" s="74">
        <f>+U10*S9</f>
        <v>-11019.775774439933</v>
      </c>
    </row>
    <row r="13" spans="1:24" x14ac:dyDescent="0.25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66"/>
      <c r="O13" s="27"/>
      <c r="P13" s="66"/>
      <c r="R13" s="93" t="s">
        <v>43</v>
      </c>
      <c r="S13" s="94"/>
      <c r="T13" s="95"/>
      <c r="U13" s="74">
        <f>+U9*T10</f>
        <v>30656.776463591112</v>
      </c>
    </row>
    <row r="14" spans="1:24" x14ac:dyDescent="0.25">
      <c r="A14" t="s">
        <v>15</v>
      </c>
      <c r="B14" s="27">
        <f t="shared" ref="B14:M14" si="5">+B7+B8</f>
        <v>14531.031200000001</v>
      </c>
      <c r="C14" s="27">
        <f t="shared" si="5"/>
        <v>14531.031200000001</v>
      </c>
      <c r="D14" s="27">
        <f t="shared" si="5"/>
        <v>14531.031200000001</v>
      </c>
      <c r="E14" s="27">
        <f t="shared" si="5"/>
        <v>14531.031200000001</v>
      </c>
      <c r="F14" s="27">
        <f t="shared" si="5"/>
        <v>0</v>
      </c>
      <c r="G14" s="27">
        <f t="shared" si="5"/>
        <v>0</v>
      </c>
      <c r="H14" s="27">
        <f t="shared" si="5"/>
        <v>0</v>
      </c>
      <c r="I14" s="27">
        <f t="shared" si="5"/>
        <v>0</v>
      </c>
      <c r="J14" s="27">
        <f t="shared" si="5"/>
        <v>0</v>
      </c>
      <c r="K14" s="27">
        <f t="shared" si="5"/>
        <v>0</v>
      </c>
      <c r="L14" s="27">
        <f t="shared" si="5"/>
        <v>0</v>
      </c>
      <c r="M14" s="27">
        <f t="shared" si="5"/>
        <v>0</v>
      </c>
      <c r="N14" s="66"/>
      <c r="O14" s="27">
        <f>+O7+O8</f>
        <v>58124.124800000005</v>
      </c>
      <c r="P14" s="66"/>
      <c r="U14" s="75">
        <f>SUM(U12:U13)</f>
        <v>19637.00068915118</v>
      </c>
    </row>
    <row r="15" spans="1:24" x14ac:dyDescent="0.25"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66"/>
      <c r="O15" s="27"/>
      <c r="P15" s="66"/>
      <c r="U15" s="76">
        <f>+U14-19637</f>
        <v>6.8915118026779965E-4</v>
      </c>
    </row>
    <row r="16" spans="1:24" x14ac:dyDescent="0.25"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66"/>
      <c r="O16" s="27"/>
      <c r="P16" s="66"/>
      <c r="U16" s="5"/>
    </row>
    <row r="17" spans="1:24" x14ac:dyDescent="0.25">
      <c r="A17" s="29" t="s">
        <v>44</v>
      </c>
      <c r="B17" s="66">
        <v>46023</v>
      </c>
      <c r="C17" s="66">
        <v>46054</v>
      </c>
      <c r="D17" s="66">
        <v>46082</v>
      </c>
      <c r="E17" s="66">
        <v>46113</v>
      </c>
      <c r="F17" s="66">
        <v>46143</v>
      </c>
      <c r="G17" s="66">
        <v>46174</v>
      </c>
      <c r="H17" s="66">
        <v>46204</v>
      </c>
      <c r="I17" s="66">
        <v>46235</v>
      </c>
      <c r="J17" s="66">
        <v>46266</v>
      </c>
      <c r="K17" s="66">
        <v>46296</v>
      </c>
      <c r="L17" s="66">
        <v>46327</v>
      </c>
      <c r="M17" s="66">
        <v>46357</v>
      </c>
      <c r="N17" s="66"/>
      <c r="O17" s="67" t="s">
        <v>45</v>
      </c>
      <c r="P17" s="66"/>
    </row>
    <row r="18" spans="1:24" x14ac:dyDescent="0.25">
      <c r="A18" t="s">
        <v>29</v>
      </c>
      <c r="B18" s="27">
        <v>124.63</v>
      </c>
      <c r="C18" s="27">
        <v>70.48</v>
      </c>
      <c r="D18" s="27">
        <v>128.74</v>
      </c>
      <c r="E18" s="27">
        <v>188.43</v>
      </c>
      <c r="F18" s="27"/>
      <c r="G18" s="27"/>
      <c r="H18" s="27"/>
      <c r="I18" s="27"/>
      <c r="J18" s="27"/>
      <c r="K18" s="27"/>
      <c r="L18" s="27"/>
      <c r="M18" s="27"/>
      <c r="N18" s="66"/>
      <c r="O18" s="27">
        <f>SUM(B18:N18)</f>
        <v>512.28</v>
      </c>
      <c r="P18" s="66"/>
      <c r="R18" s="97" t="s">
        <v>51</v>
      </c>
      <c r="S18" s="97"/>
      <c r="T18" s="97"/>
      <c r="U18" s="97"/>
      <c r="V18" s="97"/>
    </row>
    <row r="19" spans="1:24" x14ac:dyDescent="0.25">
      <c r="A19" t="s">
        <v>30</v>
      </c>
      <c r="B19" s="27">
        <f>7260.61/B18</f>
        <v>58.257321672149565</v>
      </c>
      <c r="C19" s="27">
        <f>4137.83/C18</f>
        <v>58.709279228149825</v>
      </c>
      <c r="D19" s="27">
        <f>4513.04/D18</f>
        <v>35.055460618300451</v>
      </c>
      <c r="E19" s="27">
        <f>7615.25/E18</f>
        <v>40.414212174282227</v>
      </c>
      <c r="F19" s="27"/>
      <c r="G19" s="27"/>
      <c r="H19" s="27"/>
      <c r="I19" s="27"/>
      <c r="J19" s="27"/>
      <c r="K19" s="27"/>
      <c r="L19" s="27"/>
      <c r="M19" s="27"/>
      <c r="N19" s="66"/>
      <c r="O19" s="27">
        <f>+O20/O18</f>
        <v>45.925529007573985</v>
      </c>
      <c r="P19" s="66"/>
      <c r="S19" s="69" t="s">
        <v>52</v>
      </c>
      <c r="T19" s="69" t="s">
        <v>47</v>
      </c>
      <c r="U19" s="69" t="s">
        <v>36</v>
      </c>
    </row>
    <row r="20" spans="1:24" x14ac:dyDescent="0.25">
      <c r="A20" t="s">
        <v>31</v>
      </c>
      <c r="B20" s="27">
        <f t="shared" ref="B20:E20" si="6">+B18*B19</f>
        <v>7260.61</v>
      </c>
      <c r="C20" s="27">
        <f t="shared" si="6"/>
        <v>4137.83</v>
      </c>
      <c r="D20" s="27">
        <f t="shared" si="6"/>
        <v>4513.04</v>
      </c>
      <c r="E20" s="27">
        <f t="shared" si="6"/>
        <v>7615.25</v>
      </c>
      <c r="F20" s="27"/>
      <c r="G20" s="27"/>
      <c r="H20" s="27"/>
      <c r="I20" s="27"/>
      <c r="J20" s="27"/>
      <c r="K20" s="27"/>
      <c r="L20" s="27"/>
      <c r="M20" s="27"/>
      <c r="N20" s="66"/>
      <c r="O20" s="27">
        <f>SUM(B20:N20)</f>
        <v>23526.73</v>
      </c>
      <c r="P20" s="66"/>
      <c r="R20" s="70" t="s">
        <v>38</v>
      </c>
      <c r="S20" s="1">
        <f>+S9</f>
        <v>512280</v>
      </c>
      <c r="T20" s="1">
        <f>+X20</f>
        <v>487135</v>
      </c>
      <c r="U20" s="71">
        <f>+T20-S20</f>
        <v>-25145</v>
      </c>
      <c r="V20" s="72">
        <f>+U20/T20</f>
        <v>-5.1618134603344044E-2</v>
      </c>
      <c r="X20" s="5">
        <v>487135</v>
      </c>
    </row>
    <row r="21" spans="1:24" x14ac:dyDescent="0.25">
      <c r="A21" t="s">
        <v>33</v>
      </c>
      <c r="B21" s="27">
        <v>8841.9500000000007</v>
      </c>
      <c r="C21" s="27">
        <v>8841.9500000000007</v>
      </c>
      <c r="D21" s="27">
        <v>8841.9500000000007</v>
      </c>
      <c r="E21" s="27">
        <v>8841.9500000000007</v>
      </c>
      <c r="F21" s="27"/>
      <c r="G21" s="27"/>
      <c r="H21" s="27"/>
      <c r="I21" s="27"/>
      <c r="J21" s="27"/>
      <c r="K21" s="27"/>
      <c r="L21" s="27"/>
      <c r="M21" s="27"/>
      <c r="N21" s="66"/>
      <c r="O21" s="27">
        <f>SUM(B21:N21)</f>
        <v>35367.800000000003</v>
      </c>
      <c r="P21" s="66"/>
      <c r="R21" s="70" t="s">
        <v>40</v>
      </c>
      <c r="S21" s="73">
        <v>0.14707142754051988</v>
      </c>
      <c r="T21" s="73">
        <v>0.17691961683356969</v>
      </c>
      <c r="U21" s="73">
        <f>+T21-S21</f>
        <v>2.9848189293049804E-2</v>
      </c>
      <c r="V21" s="72">
        <f>+U21/T21</f>
        <v>0.16871045634881934</v>
      </c>
    </row>
    <row r="22" spans="1:24" x14ac:dyDescent="0.25">
      <c r="A22" t="s">
        <v>37</v>
      </c>
      <c r="B22" s="27">
        <v>2142.5</v>
      </c>
      <c r="C22" s="27">
        <v>2119.48</v>
      </c>
      <c r="D22" s="27">
        <v>2096.38</v>
      </c>
      <c r="E22" s="27">
        <v>2073.1799999999998</v>
      </c>
      <c r="F22" s="27"/>
      <c r="G22" s="27"/>
      <c r="H22" s="27"/>
      <c r="I22" s="27"/>
      <c r="J22" s="27"/>
      <c r="K22" s="27"/>
      <c r="L22" s="27"/>
      <c r="M22" s="27"/>
      <c r="N22" s="66"/>
      <c r="O22" s="27">
        <f>SUM(B22:N22)</f>
        <v>8431.5399999999991</v>
      </c>
      <c r="P22" s="66"/>
    </row>
    <row r="23" spans="1:24" x14ac:dyDescent="0.25">
      <c r="A23" t="s">
        <v>39</v>
      </c>
      <c r="B23" s="27">
        <v>6146.34</v>
      </c>
      <c r="C23" s="27">
        <v>6169.36</v>
      </c>
      <c r="D23" s="27">
        <v>6192.46</v>
      </c>
      <c r="E23" s="27">
        <v>6215.65</v>
      </c>
      <c r="F23" s="27"/>
      <c r="G23" s="27"/>
      <c r="H23" s="27"/>
      <c r="I23" s="27"/>
      <c r="J23" s="27"/>
      <c r="K23" s="27"/>
      <c r="L23" s="27"/>
      <c r="M23" s="27"/>
      <c r="N23" s="66"/>
      <c r="O23" s="27">
        <f>SUM(B23:N23)</f>
        <v>24723.809999999998</v>
      </c>
      <c r="P23" s="66"/>
      <c r="R23" s="93" t="s">
        <v>49</v>
      </c>
      <c r="S23" s="94"/>
      <c r="T23" s="95"/>
      <c r="U23" s="74">
        <f>+U21*S20</f>
        <v>15290.630411043554</v>
      </c>
    </row>
    <row r="24" spans="1:24" x14ac:dyDescent="0.25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66"/>
      <c r="O24" s="27"/>
      <c r="P24" s="66"/>
      <c r="R24" s="93" t="s">
        <v>43</v>
      </c>
      <c r="S24" s="94"/>
      <c r="T24" s="95"/>
      <c r="U24" s="74">
        <f>+U20*T21</f>
        <v>-4448.6437652801096</v>
      </c>
    </row>
    <row r="25" spans="1:24" x14ac:dyDescent="0.25">
      <c r="A25" s="29" t="s">
        <v>41</v>
      </c>
      <c r="B25" s="28">
        <f t="shared" ref="B25:M25" si="7">SUM(B20:B24)</f>
        <v>24391.4</v>
      </c>
      <c r="C25" s="28">
        <f t="shared" si="7"/>
        <v>21268.62</v>
      </c>
      <c r="D25" s="28">
        <f t="shared" si="7"/>
        <v>21643.83</v>
      </c>
      <c r="E25" s="28">
        <f t="shared" si="7"/>
        <v>24746.03</v>
      </c>
      <c r="F25" s="28">
        <f t="shared" si="7"/>
        <v>0</v>
      </c>
      <c r="G25" s="28">
        <f t="shared" si="7"/>
        <v>0</v>
      </c>
      <c r="H25" s="28">
        <f t="shared" si="7"/>
        <v>0</v>
      </c>
      <c r="I25" s="28">
        <f t="shared" si="7"/>
        <v>0</v>
      </c>
      <c r="J25" s="28">
        <f t="shared" si="7"/>
        <v>0</v>
      </c>
      <c r="K25" s="28">
        <f t="shared" si="7"/>
        <v>0</v>
      </c>
      <c r="L25" s="28">
        <f t="shared" si="7"/>
        <v>0</v>
      </c>
      <c r="M25" s="28">
        <f t="shared" si="7"/>
        <v>0</v>
      </c>
      <c r="N25" s="66"/>
      <c r="O25" s="28">
        <f>SUM(O20:O24)</f>
        <v>92049.87999999999</v>
      </c>
      <c r="P25" s="66"/>
      <c r="U25" s="75">
        <f>SUM(U23:U24)</f>
        <v>10841.986645763445</v>
      </c>
    </row>
    <row r="26" spans="1:24" x14ac:dyDescent="0.25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66"/>
      <c r="O26" s="27"/>
      <c r="P26" s="66"/>
      <c r="U26" s="76">
        <f>+U25-10842</f>
        <v>-1.3354236554732779E-2</v>
      </c>
    </row>
    <row r="27" spans="1:24" x14ac:dyDescent="0.25">
      <c r="A27" t="s">
        <v>15</v>
      </c>
      <c r="B27" s="27">
        <f t="shared" ref="B27:M27" si="8">+B20+B21</f>
        <v>16102.560000000001</v>
      </c>
      <c r="C27" s="27">
        <f t="shared" si="8"/>
        <v>12979.78</v>
      </c>
      <c r="D27" s="27">
        <f t="shared" si="8"/>
        <v>13354.990000000002</v>
      </c>
      <c r="E27" s="27">
        <f t="shared" si="8"/>
        <v>16457.2</v>
      </c>
      <c r="F27" s="27">
        <f t="shared" si="8"/>
        <v>0</v>
      </c>
      <c r="G27" s="27">
        <f t="shared" si="8"/>
        <v>0</v>
      </c>
      <c r="H27" s="27">
        <f t="shared" si="8"/>
        <v>0</v>
      </c>
      <c r="I27" s="27">
        <f t="shared" si="8"/>
        <v>0</v>
      </c>
      <c r="J27" s="27">
        <f t="shared" si="8"/>
        <v>0</v>
      </c>
      <c r="K27" s="27">
        <f t="shared" si="8"/>
        <v>0</v>
      </c>
      <c r="L27" s="27">
        <f t="shared" si="8"/>
        <v>0</v>
      </c>
      <c r="M27" s="27">
        <f t="shared" si="8"/>
        <v>0</v>
      </c>
      <c r="N27" s="66"/>
      <c r="O27" s="27">
        <f>+O20+O21</f>
        <v>58894.53</v>
      </c>
      <c r="P27" s="66"/>
    </row>
    <row r="28" spans="1:24" x14ac:dyDescent="0.25">
      <c r="N28" s="66"/>
      <c r="P28" s="66"/>
    </row>
    <row r="29" spans="1:24" x14ac:dyDescent="0.25">
      <c r="B29" s="27">
        <f>+B27-B14</f>
        <v>1571.5288</v>
      </c>
      <c r="C29" s="27">
        <f t="shared" ref="C29:M29" si="9">+C27-C14</f>
        <v>-1551.2512000000006</v>
      </c>
      <c r="D29" s="27">
        <f t="shared" si="9"/>
        <v>-1176.0411999999997</v>
      </c>
      <c r="E29" s="27">
        <f t="shared" si="9"/>
        <v>1926.1687999999995</v>
      </c>
      <c r="F29" s="27">
        <f t="shared" si="9"/>
        <v>0</v>
      </c>
      <c r="G29" s="27">
        <f t="shared" si="9"/>
        <v>0</v>
      </c>
      <c r="H29" s="27">
        <f t="shared" si="9"/>
        <v>0</v>
      </c>
      <c r="I29" s="27">
        <f t="shared" si="9"/>
        <v>0</v>
      </c>
      <c r="J29" s="27">
        <f t="shared" si="9"/>
        <v>0</v>
      </c>
      <c r="K29" s="27">
        <f t="shared" si="9"/>
        <v>0</v>
      </c>
      <c r="L29" s="27">
        <f t="shared" si="9"/>
        <v>0</v>
      </c>
      <c r="M29" s="27">
        <f t="shared" si="9"/>
        <v>0</v>
      </c>
      <c r="N29" s="66"/>
      <c r="O29" s="27">
        <f>+O14-O27</f>
        <v>-770.40519999999378</v>
      </c>
      <c r="P29" s="66"/>
    </row>
    <row r="30" spans="1:24" x14ac:dyDescent="0.25">
      <c r="B30" s="27">
        <f>+B29</f>
        <v>1571.5288</v>
      </c>
      <c r="C30" s="27">
        <f>+B30+C29</f>
        <v>20.277599999999438</v>
      </c>
      <c r="D30" s="27">
        <f t="shared" ref="D30:M30" si="10">+C30+D29</f>
        <v>-1155.7636000000002</v>
      </c>
      <c r="E30" s="27">
        <f t="shared" si="10"/>
        <v>770.40519999999924</v>
      </c>
      <c r="F30" s="27">
        <f t="shared" si="10"/>
        <v>770.40519999999924</v>
      </c>
      <c r="G30" s="27">
        <f t="shared" si="10"/>
        <v>770.40519999999924</v>
      </c>
      <c r="H30" s="27">
        <f t="shared" si="10"/>
        <v>770.40519999999924</v>
      </c>
      <c r="I30" s="27">
        <f t="shared" si="10"/>
        <v>770.40519999999924</v>
      </c>
      <c r="J30" s="27">
        <f t="shared" si="10"/>
        <v>770.40519999999924</v>
      </c>
      <c r="K30" s="27">
        <f t="shared" si="10"/>
        <v>770.40519999999924</v>
      </c>
      <c r="L30" s="27">
        <f t="shared" si="10"/>
        <v>770.40519999999924</v>
      </c>
      <c r="M30" s="27">
        <f t="shared" si="10"/>
        <v>770.40519999999924</v>
      </c>
      <c r="N30" s="66"/>
      <c r="O30" s="27"/>
      <c r="P30" s="66"/>
    </row>
    <row r="31" spans="1:24" x14ac:dyDescent="0.25">
      <c r="N31" s="66"/>
      <c r="P31" s="66"/>
    </row>
    <row r="32" spans="1:24" x14ac:dyDescent="0.25">
      <c r="N32" s="66"/>
      <c r="O32" s="27">
        <v>-14400</v>
      </c>
      <c r="P32" s="66"/>
    </row>
    <row r="33" spans="14:16" x14ac:dyDescent="0.25">
      <c r="N33" s="66"/>
      <c r="P33" s="66"/>
    </row>
    <row r="34" spans="14:16" x14ac:dyDescent="0.25">
      <c r="N34" s="66"/>
      <c r="P34" s="66"/>
    </row>
    <row r="35" spans="14:16" x14ac:dyDescent="0.25">
      <c r="N35" s="66"/>
      <c r="P35" s="66"/>
    </row>
    <row r="36" spans="14:16" x14ac:dyDescent="0.25">
      <c r="N36" s="66"/>
      <c r="P36" s="66"/>
    </row>
  </sheetData>
  <mergeCells count="6">
    <mergeCell ref="R24:T24"/>
    <mergeCell ref="R7:V7"/>
    <mergeCell ref="R12:T12"/>
    <mergeCell ref="R13:T13"/>
    <mergeCell ref="R18:V18"/>
    <mergeCell ref="R23:T2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5"/>
  <sheetViews>
    <sheetView workbookViewId="0">
      <selection activeCell="C10" sqref="C10"/>
    </sheetView>
  </sheetViews>
  <sheetFormatPr baseColWidth="10" defaultRowHeight="15" x14ac:dyDescent="0.25"/>
  <cols>
    <col min="1" max="1" width="15.85546875" customWidth="1"/>
    <col min="2" max="2" width="5" bestFit="1" customWidth="1"/>
    <col min="3" max="5" width="10.140625" bestFit="1" customWidth="1"/>
    <col min="6" max="6" width="11.7109375" bestFit="1" customWidth="1"/>
    <col min="7" max="9" width="10.140625" bestFit="1" customWidth="1"/>
    <col min="10" max="10" width="11.7109375" bestFit="1" customWidth="1"/>
    <col min="11" max="13" width="10.140625" bestFit="1" customWidth="1"/>
    <col min="14" max="14" width="11.7109375" bestFit="1" customWidth="1"/>
    <col min="15" max="18" width="10.140625" bestFit="1" customWidth="1"/>
    <col min="19" max="19" width="11.7109375" bestFit="1" customWidth="1"/>
  </cols>
  <sheetData>
    <row r="1" spans="1:20" ht="18.75" x14ac:dyDescent="0.3">
      <c r="A1" s="3" t="s">
        <v>5</v>
      </c>
      <c r="B1" s="3"/>
    </row>
    <row r="2" spans="1:20" ht="27" thickBot="1" x14ac:dyDescent="0.45">
      <c r="A2" s="32">
        <v>2019</v>
      </c>
      <c r="B2" s="4"/>
    </row>
    <row r="3" spans="1:20" ht="15.75" thickBot="1" x14ac:dyDescent="0.3">
      <c r="C3" s="17">
        <v>43466</v>
      </c>
      <c r="D3" s="17">
        <v>43497</v>
      </c>
      <c r="E3" s="18">
        <v>43525</v>
      </c>
      <c r="F3" s="20" t="s">
        <v>0</v>
      </c>
      <c r="G3" s="19">
        <v>43556</v>
      </c>
      <c r="H3" s="17">
        <v>43586</v>
      </c>
      <c r="I3" s="18">
        <v>43617</v>
      </c>
      <c r="J3" s="20" t="s">
        <v>2</v>
      </c>
      <c r="K3" s="19">
        <v>43647</v>
      </c>
      <c r="L3" s="17">
        <v>43678</v>
      </c>
      <c r="M3" s="18">
        <v>43709</v>
      </c>
      <c r="N3" s="20" t="s">
        <v>3</v>
      </c>
      <c r="O3" s="19">
        <v>43739</v>
      </c>
      <c r="P3" s="17">
        <v>43770</v>
      </c>
      <c r="Q3" s="18">
        <v>43800</v>
      </c>
      <c r="R3" s="20" t="s">
        <v>4</v>
      </c>
      <c r="S3" s="21" t="s">
        <v>7</v>
      </c>
    </row>
    <row r="4" spans="1:20" ht="15.75" thickBot="1" x14ac:dyDescent="0.3"/>
    <row r="5" spans="1:20" ht="15.75" thickBot="1" x14ac:dyDescent="0.3">
      <c r="A5" t="s">
        <v>9</v>
      </c>
      <c r="C5" s="6">
        <v>12</v>
      </c>
      <c r="D5" s="6">
        <v>10</v>
      </c>
      <c r="E5" s="7">
        <v>18</v>
      </c>
      <c r="F5" s="9">
        <f>SUM(C5:E5)</f>
        <v>40</v>
      </c>
      <c r="G5" s="8">
        <v>21</v>
      </c>
      <c r="H5" s="6">
        <v>21</v>
      </c>
      <c r="I5" s="7">
        <v>17</v>
      </c>
      <c r="J5" s="9">
        <f>SUM(G5:I5)</f>
        <v>59</v>
      </c>
      <c r="K5" s="8">
        <v>16</v>
      </c>
      <c r="L5" s="6">
        <v>18</v>
      </c>
      <c r="M5" s="7">
        <v>15</v>
      </c>
      <c r="N5" s="9">
        <f>SUM(K5:M5)</f>
        <v>49</v>
      </c>
      <c r="O5" s="8">
        <v>16</v>
      </c>
      <c r="P5" s="6">
        <v>13</v>
      </c>
      <c r="Q5" s="7">
        <v>12</v>
      </c>
      <c r="R5" s="9">
        <f>SUM(O5:Q5)</f>
        <v>41</v>
      </c>
      <c r="S5" s="9">
        <f>F5+J5+N5+R5</f>
        <v>189</v>
      </c>
    </row>
    <row r="6" spans="1:20" ht="15.75" thickBot="1" x14ac:dyDescent="0.3">
      <c r="A6" t="s">
        <v>17</v>
      </c>
      <c r="C6" s="13">
        <v>306590.5</v>
      </c>
      <c r="D6" s="13">
        <v>257429</v>
      </c>
      <c r="E6" s="13">
        <v>521565.5</v>
      </c>
      <c r="F6" s="15">
        <f>SUM(C6:E6)</f>
        <v>1085585</v>
      </c>
      <c r="G6" s="13">
        <v>656060.5</v>
      </c>
      <c r="H6" s="13">
        <v>651948.5</v>
      </c>
      <c r="I6" s="13">
        <v>503403</v>
      </c>
      <c r="J6" s="15">
        <f>SUM(G6:I6)</f>
        <v>1811412</v>
      </c>
      <c r="K6" s="13">
        <v>469038</v>
      </c>
      <c r="L6" s="13">
        <v>434633</v>
      </c>
      <c r="M6" s="13">
        <v>408466.5</v>
      </c>
      <c r="N6" s="15">
        <f>SUM(K6:M6)</f>
        <v>1312137.5</v>
      </c>
      <c r="O6" s="13">
        <v>329119</v>
      </c>
      <c r="P6" s="13">
        <v>303420</v>
      </c>
      <c r="Q6" s="13">
        <v>336325.5</v>
      </c>
      <c r="R6" s="15">
        <f>SUM(O6:Q6)</f>
        <v>968864.5</v>
      </c>
      <c r="S6" s="15">
        <f>F6+J6+N6+R6</f>
        <v>5177999</v>
      </c>
      <c r="T6" t="s">
        <v>18</v>
      </c>
    </row>
    <row r="8" spans="1:20" x14ac:dyDescent="0.25">
      <c r="A8" s="22" t="s">
        <v>11</v>
      </c>
      <c r="B8" s="22"/>
    </row>
    <row r="9" spans="1:20" ht="15.75" thickBot="1" x14ac:dyDescent="0.3"/>
    <row r="10" spans="1:20" ht="15.75" thickBot="1" x14ac:dyDescent="0.3">
      <c r="A10" t="s">
        <v>6</v>
      </c>
      <c r="C10" s="1">
        <v>660164</v>
      </c>
      <c r="D10" s="1">
        <v>421131</v>
      </c>
      <c r="E10" s="10">
        <v>785150</v>
      </c>
      <c r="F10" s="12">
        <f>SUM(C10:E10)</f>
        <v>1866445</v>
      </c>
      <c r="G10" s="11">
        <v>697854</v>
      </c>
      <c r="H10" s="1">
        <v>634835</v>
      </c>
      <c r="I10" s="10">
        <v>772949</v>
      </c>
      <c r="J10" s="12">
        <f>SUM(G10:I10)</f>
        <v>2105638</v>
      </c>
      <c r="K10" s="11">
        <v>564424</v>
      </c>
      <c r="L10" s="1">
        <v>603398</v>
      </c>
      <c r="M10" s="10">
        <v>561369</v>
      </c>
      <c r="N10" s="12">
        <f>SUM(K10:M10)</f>
        <v>1729191</v>
      </c>
      <c r="O10" s="11">
        <v>558368</v>
      </c>
      <c r="P10" s="1">
        <v>594027</v>
      </c>
      <c r="Q10" s="10">
        <v>655105</v>
      </c>
      <c r="R10" s="12">
        <f>SUM(O10:Q10)</f>
        <v>1807500</v>
      </c>
      <c r="S10" s="12">
        <f>F10+J10+N10+R10</f>
        <v>7508774</v>
      </c>
    </row>
    <row r="11" spans="1:20" ht="15.75" thickBot="1" x14ac:dyDescent="0.3">
      <c r="A11" t="s">
        <v>15</v>
      </c>
      <c r="C11" s="13">
        <v>27085.64</v>
      </c>
      <c r="D11" s="13">
        <v>17307.75</v>
      </c>
      <c r="E11" s="14">
        <v>32198.31</v>
      </c>
      <c r="F11" s="15">
        <f>SUM(C11:E11)</f>
        <v>76591.7</v>
      </c>
      <c r="G11" s="16">
        <v>27984.66</v>
      </c>
      <c r="H11" s="13">
        <v>25464.84</v>
      </c>
      <c r="I11" s="14">
        <v>30987.33</v>
      </c>
      <c r="J11" s="15">
        <f>SUM(G11:I11)</f>
        <v>84436.83</v>
      </c>
      <c r="K11" s="16">
        <f>37315.94-14665.91</f>
        <v>22650.030000000002</v>
      </c>
      <c r="L11" s="13">
        <f>24260.98-52.54</f>
        <v>24208.44</v>
      </c>
      <c r="M11" s="14">
        <v>22527.87</v>
      </c>
      <c r="N11" s="15">
        <f>SUM(K11:M11)</f>
        <v>69386.34</v>
      </c>
      <c r="O11" s="16">
        <v>22425.18</v>
      </c>
      <c r="P11" s="13">
        <v>23852.14</v>
      </c>
      <c r="Q11" s="14">
        <v>26296.31</v>
      </c>
      <c r="R11" s="15">
        <f>SUM(O11:Q11)</f>
        <v>72573.63</v>
      </c>
      <c r="S11" s="15">
        <f>F11+J11+N11+R11</f>
        <v>302988.5</v>
      </c>
    </row>
    <row r="12" spans="1:20" x14ac:dyDescent="0.25">
      <c r="C12" s="13">
        <f>+C11/C10</f>
        <v>4.1028653486103454E-2</v>
      </c>
      <c r="D12" s="13">
        <f t="shared" ref="D12:S12" si="0">+D11/D10</f>
        <v>4.109825683694622E-2</v>
      </c>
      <c r="E12" s="13">
        <f t="shared" si="0"/>
        <v>4.100911927657136E-2</v>
      </c>
      <c r="F12" s="13">
        <f t="shared" si="0"/>
        <v>4.1036140898874598E-2</v>
      </c>
      <c r="G12" s="13">
        <f t="shared" si="0"/>
        <v>4.0101023996423318E-2</v>
      </c>
      <c r="H12" s="13">
        <f t="shared" si="0"/>
        <v>4.0112533177912371E-2</v>
      </c>
      <c r="I12" s="13">
        <f t="shared" si="0"/>
        <v>4.0089747189012474E-2</v>
      </c>
      <c r="J12" s="13">
        <f t="shared" si="0"/>
        <v>4.0100354381902306E-2</v>
      </c>
      <c r="K12" s="13">
        <f t="shared" si="0"/>
        <v>4.0129459413490574E-2</v>
      </c>
      <c r="L12" s="13">
        <f t="shared" si="0"/>
        <v>4.0120186013211843E-2</v>
      </c>
      <c r="M12" s="13">
        <f t="shared" si="0"/>
        <v>4.0130235192894513E-2</v>
      </c>
      <c r="N12" s="13">
        <f t="shared" si="0"/>
        <v>4.0126475328636335E-2</v>
      </c>
      <c r="O12" s="13">
        <f t="shared" si="0"/>
        <v>4.0162007851452804E-2</v>
      </c>
      <c r="P12" s="13">
        <f t="shared" si="0"/>
        <v>4.0153292695449871E-2</v>
      </c>
      <c r="Q12" s="13">
        <f t="shared" si="0"/>
        <v>4.0140603414719776E-2</v>
      </c>
      <c r="R12" s="13">
        <f t="shared" si="0"/>
        <v>4.0151385892116184E-2</v>
      </c>
      <c r="S12" s="13">
        <f t="shared" si="0"/>
        <v>4.0351261071381296E-2</v>
      </c>
    </row>
    <row r="13" spans="1:20" ht="15.75" thickBot="1" x14ac:dyDescent="0.3"/>
    <row r="14" spans="1:20" ht="15.75" thickBot="1" x14ac:dyDescent="0.3">
      <c r="A14" t="s">
        <v>14</v>
      </c>
      <c r="B14" t="s">
        <v>6</v>
      </c>
      <c r="C14" s="1">
        <f t="shared" ref="C14:S14" si="1">+C10/C5</f>
        <v>55013.666666666664</v>
      </c>
      <c r="D14" s="1">
        <f t="shared" si="1"/>
        <v>42113.1</v>
      </c>
      <c r="E14" s="10">
        <f t="shared" si="1"/>
        <v>43619.444444444445</v>
      </c>
      <c r="F14" s="12">
        <f t="shared" si="1"/>
        <v>46661.125</v>
      </c>
      <c r="G14" s="11">
        <f t="shared" si="1"/>
        <v>33231.142857142855</v>
      </c>
      <c r="H14" s="1">
        <f t="shared" si="1"/>
        <v>30230.238095238095</v>
      </c>
      <c r="I14" s="10">
        <f t="shared" si="1"/>
        <v>45467.588235294119</v>
      </c>
      <c r="J14" s="12">
        <f t="shared" si="1"/>
        <v>35688.779661016946</v>
      </c>
      <c r="K14" s="11">
        <f t="shared" si="1"/>
        <v>35276.5</v>
      </c>
      <c r="L14" s="1">
        <f t="shared" si="1"/>
        <v>33522.111111111109</v>
      </c>
      <c r="M14" s="10">
        <f t="shared" si="1"/>
        <v>37424.6</v>
      </c>
      <c r="N14" s="12">
        <f t="shared" si="1"/>
        <v>35289.612244897959</v>
      </c>
      <c r="O14" s="11">
        <f t="shared" si="1"/>
        <v>34898</v>
      </c>
      <c r="P14" s="1">
        <f t="shared" si="1"/>
        <v>45694.384615384617</v>
      </c>
      <c r="Q14" s="10">
        <f t="shared" si="1"/>
        <v>54592.083333333336</v>
      </c>
      <c r="R14" s="12">
        <f t="shared" si="1"/>
        <v>44085.365853658535</v>
      </c>
      <c r="S14" s="12">
        <f t="shared" si="1"/>
        <v>39728.962962962964</v>
      </c>
    </row>
    <row r="15" spans="1:20" ht="15.75" thickBot="1" x14ac:dyDescent="0.3">
      <c r="A15" t="s">
        <v>14</v>
      </c>
      <c r="B15" t="s">
        <v>10</v>
      </c>
      <c r="C15" s="13">
        <f t="shared" ref="C15:S15" si="2">+C11/C5</f>
        <v>2257.1366666666668</v>
      </c>
      <c r="D15" s="13">
        <f t="shared" si="2"/>
        <v>1730.7750000000001</v>
      </c>
      <c r="E15" s="13">
        <f t="shared" si="2"/>
        <v>1788.7950000000001</v>
      </c>
      <c r="F15" s="15">
        <f t="shared" si="2"/>
        <v>1914.7925</v>
      </c>
      <c r="G15" s="13">
        <f t="shared" si="2"/>
        <v>1332.6028571428571</v>
      </c>
      <c r="H15" s="13">
        <f t="shared" si="2"/>
        <v>1212.6114285714286</v>
      </c>
      <c r="I15" s="13">
        <f t="shared" si="2"/>
        <v>1822.784117647059</v>
      </c>
      <c r="J15" s="15">
        <f t="shared" si="2"/>
        <v>1431.1327118644067</v>
      </c>
      <c r="K15" s="13">
        <f t="shared" si="2"/>
        <v>1415.6268750000002</v>
      </c>
      <c r="L15" s="13">
        <f t="shared" si="2"/>
        <v>1344.9133333333332</v>
      </c>
      <c r="M15" s="13">
        <f t="shared" si="2"/>
        <v>1501.8579999999999</v>
      </c>
      <c r="N15" s="15">
        <f t="shared" si="2"/>
        <v>1416.0477551020408</v>
      </c>
      <c r="O15" s="13">
        <f t="shared" si="2"/>
        <v>1401.57375</v>
      </c>
      <c r="P15" s="13">
        <f t="shared" si="2"/>
        <v>1834.78</v>
      </c>
      <c r="Q15" s="13">
        <f t="shared" si="2"/>
        <v>2191.3591666666666</v>
      </c>
      <c r="R15" s="15">
        <f t="shared" si="2"/>
        <v>1770.088536585366</v>
      </c>
      <c r="S15" s="15">
        <f t="shared" si="2"/>
        <v>1603.1137566137565</v>
      </c>
    </row>
    <row r="16" spans="1:20" ht="15.75" thickBot="1" x14ac:dyDescent="0.3">
      <c r="A16" t="s">
        <v>20</v>
      </c>
      <c r="B16" t="s">
        <v>6</v>
      </c>
      <c r="C16" s="30">
        <f>+C10/C6</f>
        <v>2.1532434958030335</v>
      </c>
      <c r="D16" s="30">
        <f t="shared" ref="D16:F16" si="3">+D10/D6</f>
        <v>1.6359112609690438</v>
      </c>
      <c r="E16" s="30">
        <f t="shared" si="3"/>
        <v>1.5053718085264458</v>
      </c>
      <c r="F16" s="31">
        <f t="shared" si="3"/>
        <v>1.7192988112400227</v>
      </c>
      <c r="G16" s="30">
        <f>+G10/G6</f>
        <v>1.063703728543328</v>
      </c>
      <c r="H16" s="30">
        <f t="shared" ref="H16:J16" si="4">+H10/H6</f>
        <v>0.97375022720352911</v>
      </c>
      <c r="I16" s="30">
        <f t="shared" si="4"/>
        <v>1.5354477426634328</v>
      </c>
      <c r="J16" s="31">
        <f t="shared" si="4"/>
        <v>1.1624290884680017</v>
      </c>
      <c r="K16" s="30">
        <f>+K10/K6</f>
        <v>1.2033651857632004</v>
      </c>
      <c r="L16" s="30">
        <f t="shared" ref="L16:N16" si="5">+L10/L6</f>
        <v>1.3882931116597221</v>
      </c>
      <c r="M16" s="30">
        <f t="shared" si="5"/>
        <v>1.3743330236384135</v>
      </c>
      <c r="N16" s="31">
        <f t="shared" si="5"/>
        <v>1.3178428327823875</v>
      </c>
      <c r="O16" s="30">
        <f>+O10/O6</f>
        <v>1.6965535262321532</v>
      </c>
      <c r="P16" s="30">
        <f t="shared" ref="P16:R16" si="6">+P10/P6</f>
        <v>1.95777140597192</v>
      </c>
      <c r="Q16" s="30">
        <f t="shared" si="6"/>
        <v>1.9478303013003773</v>
      </c>
      <c r="R16" s="31">
        <f t="shared" si="6"/>
        <v>1.8655859513894875</v>
      </c>
      <c r="S16" s="31">
        <f>+S10/S6</f>
        <v>1.4501304461433848</v>
      </c>
    </row>
    <row r="17" spans="1:19" ht="15.75" thickBot="1" x14ac:dyDescent="0.3">
      <c r="A17" t="s">
        <v>19</v>
      </c>
      <c r="B17" t="s">
        <v>10</v>
      </c>
      <c r="C17" s="25">
        <f t="shared" ref="C17:S17" si="7">+C11/C6</f>
        <v>8.834468126050872E-2</v>
      </c>
      <c r="D17" s="25">
        <f t="shared" si="7"/>
        <v>6.7233101165758327E-2</v>
      </c>
      <c r="E17" s="25">
        <f t="shared" si="7"/>
        <v>6.1733972051448954E-2</v>
      </c>
      <c r="F17" s="26">
        <f t="shared" si="7"/>
        <v>7.0553388265313169E-2</v>
      </c>
      <c r="G17" s="25">
        <f t="shared" si="7"/>
        <v>4.265560874340095E-2</v>
      </c>
      <c r="H17" s="25">
        <f t="shared" si="7"/>
        <v>3.9059588295701268E-2</v>
      </c>
      <c r="I17" s="25">
        <f t="shared" si="7"/>
        <v>6.1555711825316897E-2</v>
      </c>
      <c r="J17" s="26">
        <f t="shared" si="7"/>
        <v>4.6613818391398533E-2</v>
      </c>
      <c r="K17" s="25">
        <f t="shared" si="7"/>
        <v>4.8290394381691894E-2</v>
      </c>
      <c r="L17" s="25">
        <f t="shared" si="7"/>
        <v>5.5698577880648727E-2</v>
      </c>
      <c r="M17" s="25">
        <f t="shared" si="7"/>
        <v>5.5152307471971383E-2</v>
      </c>
      <c r="N17" s="26">
        <f t="shared" si="7"/>
        <v>5.2880387916662698E-2</v>
      </c>
      <c r="O17" s="25">
        <f t="shared" si="7"/>
        <v>6.8136996040945683E-2</v>
      </c>
      <c r="P17" s="25">
        <f t="shared" si="7"/>
        <v>7.8610968294772918E-2</v>
      </c>
      <c r="Q17" s="25">
        <f t="shared" si="7"/>
        <v>7.8187083643672578E-2</v>
      </c>
      <c r="R17" s="26">
        <f t="shared" si="7"/>
        <v>7.4905861449150013E-2</v>
      </c>
      <c r="S17" s="26">
        <f t="shared" si="7"/>
        <v>5.8514592219890346E-2</v>
      </c>
    </row>
    <row r="18" spans="1:19" x14ac:dyDescent="0.25">
      <c r="F18">
        <f>+F11/F10</f>
        <v>4.1036140898874598E-2</v>
      </c>
      <c r="J18">
        <f>+J11/J10</f>
        <v>4.0100354381902306E-2</v>
      </c>
      <c r="N18">
        <f>+N11/N10</f>
        <v>4.0126475328636335E-2</v>
      </c>
      <c r="S18">
        <f>+S11/S10</f>
        <v>4.0351261071381296E-2</v>
      </c>
    </row>
    <row r="19" spans="1:19" x14ac:dyDescent="0.25">
      <c r="A19" s="22" t="s">
        <v>12</v>
      </c>
      <c r="B19" s="22"/>
    </row>
    <row r="20" spans="1:19" ht="15.75" thickBot="1" x14ac:dyDescent="0.3"/>
    <row r="21" spans="1:19" ht="15.75" thickBot="1" x14ac:dyDescent="0.3">
      <c r="A21" t="s">
        <v>1</v>
      </c>
      <c r="C21" s="45"/>
      <c r="D21" s="45"/>
      <c r="E21" s="46"/>
      <c r="F21" s="12">
        <v>30571</v>
      </c>
      <c r="G21" s="51"/>
      <c r="H21" s="45"/>
      <c r="I21" s="46"/>
      <c r="J21" s="12">
        <v>42215</v>
      </c>
      <c r="K21" s="51"/>
      <c r="L21" s="45"/>
      <c r="M21" s="46"/>
      <c r="N21" s="12">
        <v>41629</v>
      </c>
      <c r="O21" s="51"/>
      <c r="P21" s="45"/>
      <c r="Q21" s="46"/>
      <c r="R21" s="12">
        <v>28126</v>
      </c>
      <c r="S21" s="12">
        <f>F21+J21+N21+R21</f>
        <v>142541</v>
      </c>
    </row>
    <row r="22" spans="1:19" ht="15.75" thickBot="1" x14ac:dyDescent="0.3">
      <c r="A22" t="s">
        <v>15</v>
      </c>
      <c r="C22" s="47"/>
      <c r="D22" s="47"/>
      <c r="E22" s="48"/>
      <c r="F22" s="15">
        <v>36613.89</v>
      </c>
      <c r="G22" s="52"/>
      <c r="H22" s="47"/>
      <c r="I22" s="48"/>
      <c r="J22" s="15">
        <v>54164.73</v>
      </c>
      <c r="K22" s="52"/>
      <c r="L22" s="47"/>
      <c r="M22" s="48"/>
      <c r="N22" s="15">
        <v>49866.91</v>
      </c>
      <c r="O22" s="52"/>
      <c r="P22" s="47"/>
      <c r="Q22" s="48"/>
      <c r="R22" s="15">
        <v>33683.56</v>
      </c>
      <c r="S22" s="15">
        <f>F22+J22+N22+R22</f>
        <v>174329.09</v>
      </c>
    </row>
    <row r="23" spans="1:19" x14ac:dyDescent="0.25">
      <c r="C23" s="47"/>
      <c r="D23" s="47"/>
      <c r="E23" s="47"/>
      <c r="F23" s="13">
        <f t="shared" ref="F23:S23" si="8">+F22/F21</f>
        <v>1.1976673972065028</v>
      </c>
      <c r="G23" s="47"/>
      <c r="H23" s="47"/>
      <c r="I23" s="47"/>
      <c r="J23" s="13">
        <f t="shared" si="8"/>
        <v>1.2830683406372143</v>
      </c>
      <c r="K23" s="47"/>
      <c r="L23" s="47"/>
      <c r="M23" s="47"/>
      <c r="N23" s="13">
        <f t="shared" si="8"/>
        <v>1.1978887314131976</v>
      </c>
      <c r="O23" s="47"/>
      <c r="P23" s="47"/>
      <c r="Q23" s="47"/>
      <c r="R23" s="13">
        <f t="shared" si="8"/>
        <v>1.1975951077295028</v>
      </c>
      <c r="S23" s="13">
        <f t="shared" si="8"/>
        <v>1.2230101514651925</v>
      </c>
    </row>
    <row r="24" spans="1:19" ht="15.75" thickBot="1" x14ac:dyDescent="0.3">
      <c r="C24" s="54"/>
      <c r="D24" s="54"/>
      <c r="E24" s="54"/>
      <c r="G24" s="54"/>
      <c r="H24" s="54"/>
      <c r="I24" s="54"/>
      <c r="K24" s="54"/>
      <c r="L24" s="54"/>
      <c r="M24" s="54"/>
      <c r="O24" s="54"/>
      <c r="P24" s="54"/>
      <c r="Q24" s="54"/>
    </row>
    <row r="25" spans="1:19" ht="15.75" thickBot="1" x14ac:dyDescent="0.3">
      <c r="A25" t="s">
        <v>14</v>
      </c>
      <c r="B25" t="s">
        <v>1</v>
      </c>
      <c r="C25" s="45">
        <f t="shared" ref="C25:S25" si="9">+C21/C5</f>
        <v>0</v>
      </c>
      <c r="D25" s="45">
        <f t="shared" si="9"/>
        <v>0</v>
      </c>
      <c r="E25" s="46">
        <f t="shared" si="9"/>
        <v>0</v>
      </c>
      <c r="F25" s="15">
        <f t="shared" si="9"/>
        <v>764.27499999999998</v>
      </c>
      <c r="G25" s="51">
        <f t="shared" si="9"/>
        <v>0</v>
      </c>
      <c r="H25" s="45">
        <f t="shared" si="9"/>
        <v>0</v>
      </c>
      <c r="I25" s="46">
        <f t="shared" si="9"/>
        <v>0</v>
      </c>
      <c r="J25" s="15">
        <f t="shared" si="9"/>
        <v>715.50847457627117</v>
      </c>
      <c r="K25" s="51">
        <f t="shared" si="9"/>
        <v>0</v>
      </c>
      <c r="L25" s="45">
        <f t="shared" si="9"/>
        <v>0</v>
      </c>
      <c r="M25" s="46">
        <f t="shared" si="9"/>
        <v>0</v>
      </c>
      <c r="N25" s="15">
        <f t="shared" si="9"/>
        <v>849.57142857142856</v>
      </c>
      <c r="O25" s="51">
        <f t="shared" si="9"/>
        <v>0</v>
      </c>
      <c r="P25" s="45">
        <f t="shared" si="9"/>
        <v>0</v>
      </c>
      <c r="Q25" s="46">
        <f t="shared" si="9"/>
        <v>0</v>
      </c>
      <c r="R25" s="15">
        <f t="shared" si="9"/>
        <v>686</v>
      </c>
      <c r="S25" s="15">
        <f t="shared" si="9"/>
        <v>754.18518518518522</v>
      </c>
    </row>
    <row r="26" spans="1:19" ht="15.75" thickBot="1" x14ac:dyDescent="0.3">
      <c r="A26" t="s">
        <v>14</v>
      </c>
      <c r="B26" t="s">
        <v>10</v>
      </c>
      <c r="C26" s="47">
        <f t="shared" ref="C26:S26" si="10">+C22/C5</f>
        <v>0</v>
      </c>
      <c r="D26" s="47">
        <f t="shared" si="10"/>
        <v>0</v>
      </c>
      <c r="E26" s="48">
        <f t="shared" si="10"/>
        <v>0</v>
      </c>
      <c r="F26" s="15">
        <f t="shared" si="10"/>
        <v>915.34725000000003</v>
      </c>
      <c r="G26" s="52">
        <f t="shared" si="10"/>
        <v>0</v>
      </c>
      <c r="H26" s="47">
        <f t="shared" si="10"/>
        <v>0</v>
      </c>
      <c r="I26" s="48">
        <f t="shared" si="10"/>
        <v>0</v>
      </c>
      <c r="J26" s="15">
        <f t="shared" si="10"/>
        <v>918.04627118644078</v>
      </c>
      <c r="K26" s="52">
        <f t="shared" si="10"/>
        <v>0</v>
      </c>
      <c r="L26" s="47">
        <f t="shared" si="10"/>
        <v>0</v>
      </c>
      <c r="M26" s="48">
        <f t="shared" si="10"/>
        <v>0</v>
      </c>
      <c r="N26" s="15">
        <f t="shared" si="10"/>
        <v>1017.6920408163267</v>
      </c>
      <c r="O26" s="52">
        <f t="shared" si="10"/>
        <v>0</v>
      </c>
      <c r="P26" s="47">
        <f t="shared" si="10"/>
        <v>0</v>
      </c>
      <c r="Q26" s="48">
        <f t="shared" si="10"/>
        <v>0</v>
      </c>
      <c r="R26" s="15">
        <f t="shared" si="10"/>
        <v>821.55024390243898</v>
      </c>
      <c r="S26" s="15">
        <f t="shared" si="10"/>
        <v>922.37613756613757</v>
      </c>
    </row>
    <row r="27" spans="1:19" ht="15.75" thickBot="1" x14ac:dyDescent="0.3">
      <c r="A27" t="s">
        <v>21</v>
      </c>
      <c r="B27" t="s">
        <v>1</v>
      </c>
      <c r="C27" s="50">
        <f>+C21/C6</f>
        <v>0</v>
      </c>
      <c r="D27" s="50">
        <f t="shared" ref="D27:E27" si="11">+D21/D6</f>
        <v>0</v>
      </c>
      <c r="E27" s="50">
        <f t="shared" si="11"/>
        <v>0</v>
      </c>
      <c r="F27" s="31">
        <f t="shared" ref="F27" si="12">+F21/F6</f>
        <v>2.8160853364775675E-2</v>
      </c>
      <c r="G27" s="50">
        <f>+G21/G6</f>
        <v>0</v>
      </c>
      <c r="H27" s="50">
        <f t="shared" ref="H27:J27" si="13">+H21/H6</f>
        <v>0</v>
      </c>
      <c r="I27" s="50">
        <f t="shared" si="13"/>
        <v>0</v>
      </c>
      <c r="J27" s="31">
        <f t="shared" si="13"/>
        <v>2.3305023926086389E-2</v>
      </c>
      <c r="K27" s="50">
        <f>+K21/K6</f>
        <v>0</v>
      </c>
      <c r="L27" s="50">
        <f t="shared" ref="L27:N27" si="14">+L21/L6</f>
        <v>0</v>
      </c>
      <c r="M27" s="50">
        <f t="shared" si="14"/>
        <v>0</v>
      </c>
      <c r="N27" s="31">
        <f t="shared" si="14"/>
        <v>3.1726095778834153E-2</v>
      </c>
      <c r="O27" s="50">
        <f>+O21/O6</f>
        <v>0</v>
      </c>
      <c r="P27" s="50">
        <f t="shared" ref="P27:R27" si="15">+P21/P6</f>
        <v>0</v>
      </c>
      <c r="Q27" s="50">
        <f t="shared" si="15"/>
        <v>0</v>
      </c>
      <c r="R27" s="31">
        <f t="shared" si="15"/>
        <v>2.9029859180514924E-2</v>
      </c>
      <c r="S27" s="31">
        <f>+S21/S6</f>
        <v>2.7528201531132005E-2</v>
      </c>
    </row>
    <row r="28" spans="1:19" ht="15.75" thickBot="1" x14ac:dyDescent="0.3">
      <c r="A28" t="s">
        <v>19</v>
      </c>
      <c r="B28" t="s">
        <v>10</v>
      </c>
      <c r="C28" s="50">
        <f>+C22/C6</f>
        <v>0</v>
      </c>
      <c r="D28" s="50">
        <f t="shared" ref="D28:E28" si="16">+D22/D6</f>
        <v>0</v>
      </c>
      <c r="E28" s="50">
        <f t="shared" si="16"/>
        <v>0</v>
      </c>
      <c r="F28" s="26">
        <f t="shared" ref="F28" si="17">+F22/F6</f>
        <v>3.3727335952504871E-2</v>
      </c>
      <c r="G28" s="50">
        <f>+G22/G6</f>
        <v>0</v>
      </c>
      <c r="H28" s="50">
        <f t="shared" ref="H28:J28" si="18">+H22/H6</f>
        <v>0</v>
      </c>
      <c r="I28" s="50">
        <f t="shared" si="18"/>
        <v>0</v>
      </c>
      <c r="J28" s="26">
        <f t="shared" si="18"/>
        <v>2.9901938377354241E-2</v>
      </c>
      <c r="K28" s="50">
        <f>+K22/K6</f>
        <v>0</v>
      </c>
      <c r="L28" s="50">
        <f t="shared" ref="L28:N28" si="19">+L22/L6</f>
        <v>0</v>
      </c>
      <c r="M28" s="50">
        <f t="shared" si="19"/>
        <v>0</v>
      </c>
      <c r="N28" s="26">
        <f t="shared" si="19"/>
        <v>3.8004332625201247E-2</v>
      </c>
      <c r="O28" s="50">
        <f>+O22/O6</f>
        <v>0</v>
      </c>
      <c r="P28" s="50">
        <f t="shared" ref="P28:R28" si="20">+P22/P6</f>
        <v>0</v>
      </c>
      <c r="Q28" s="50">
        <f t="shared" si="20"/>
        <v>0</v>
      </c>
      <c r="R28" s="26">
        <f t="shared" si="20"/>
        <v>3.4766017332661069E-2</v>
      </c>
      <c r="S28" s="26">
        <f>+S22/S6</f>
        <v>3.36672699241541E-2</v>
      </c>
    </row>
    <row r="29" spans="1:19" x14ac:dyDescent="0.25">
      <c r="F29">
        <f>+F22/F21</f>
        <v>1.1976673972065028</v>
      </c>
      <c r="J29">
        <f>+J22/J21</f>
        <v>1.2830683406372143</v>
      </c>
      <c r="N29">
        <f>+N22/N21</f>
        <v>1.1978887314131976</v>
      </c>
      <c r="S29">
        <f>+S22/S21</f>
        <v>1.2230101514651925</v>
      </c>
    </row>
    <row r="31" spans="1:19" x14ac:dyDescent="0.25">
      <c r="A31" s="22" t="s">
        <v>13</v>
      </c>
      <c r="B31" s="22"/>
    </row>
    <row r="32" spans="1:19" ht="15.75" thickBot="1" x14ac:dyDescent="0.3"/>
    <row r="33" spans="1:19" ht="15.75" thickBot="1" x14ac:dyDescent="0.3">
      <c r="A33" t="s">
        <v>6</v>
      </c>
      <c r="C33" s="1">
        <f>+C50</f>
        <v>221786</v>
      </c>
      <c r="D33" s="1">
        <f>+D50</f>
        <v>233833</v>
      </c>
      <c r="E33" s="10">
        <f>+E50</f>
        <v>341915</v>
      </c>
      <c r="F33" s="12">
        <f>SUM(C33:E33)</f>
        <v>797534</v>
      </c>
      <c r="G33" s="11">
        <f>+G50</f>
        <v>393646</v>
      </c>
      <c r="H33" s="1">
        <f>+H50</f>
        <v>431791</v>
      </c>
      <c r="I33" s="10">
        <f>+I50</f>
        <v>408787</v>
      </c>
      <c r="J33" s="12">
        <f>SUM(G33:I33)</f>
        <v>1234224</v>
      </c>
      <c r="K33" s="11">
        <f>+K50</f>
        <v>447463</v>
      </c>
      <c r="L33" s="1">
        <f>+L50</f>
        <v>431610</v>
      </c>
      <c r="M33" s="10">
        <f>+M50</f>
        <v>337810</v>
      </c>
      <c r="N33" s="12">
        <f>SUM(K33:M33)</f>
        <v>1216883</v>
      </c>
      <c r="O33" s="11">
        <f>+O50</f>
        <v>322079</v>
      </c>
      <c r="P33" s="1">
        <f>+P50</f>
        <v>258691</v>
      </c>
      <c r="Q33" s="10">
        <f>+Q50</f>
        <v>267143</v>
      </c>
      <c r="R33" s="12">
        <f>SUM(O33:Q33)</f>
        <v>847913</v>
      </c>
      <c r="S33" s="12">
        <f>F33+J33+N33+R33</f>
        <v>4096554</v>
      </c>
    </row>
    <row r="34" spans="1:19" ht="15.75" thickBot="1" x14ac:dyDescent="0.3">
      <c r="A34" t="s">
        <v>15</v>
      </c>
      <c r="C34" s="13">
        <v>29132.46</v>
      </c>
      <c r="D34" s="13">
        <v>31091.78</v>
      </c>
      <c r="E34" s="14">
        <v>35051.79</v>
      </c>
      <c r="F34" s="15">
        <f>SUM(C34:E34)</f>
        <v>95276.03</v>
      </c>
      <c r="G34" s="16">
        <v>38298.74</v>
      </c>
      <c r="H34" s="13">
        <v>40901.35</v>
      </c>
      <c r="I34" s="14">
        <v>47114.19</v>
      </c>
      <c r="J34" s="15">
        <f>SUM(G34:I34)</f>
        <v>126314.28</v>
      </c>
      <c r="K34" s="16">
        <f>12899.48+42302.72</f>
        <v>55202.2</v>
      </c>
      <c r="L34" s="13">
        <v>38145.65</v>
      </c>
      <c r="M34" s="14">
        <v>36305.54</v>
      </c>
      <c r="N34" s="15">
        <f>SUM(K34:M34)</f>
        <v>129653.39000000001</v>
      </c>
      <c r="O34" s="16">
        <v>33170.42</v>
      </c>
      <c r="P34" s="13">
        <v>29232.86</v>
      </c>
      <c r="Q34" s="14">
        <v>33146.68</v>
      </c>
      <c r="R34" s="15">
        <f>SUM(O34:Q34)</f>
        <v>95549.959999999992</v>
      </c>
      <c r="S34" s="15">
        <f>F34+J34+N34+R34</f>
        <v>446793.66000000003</v>
      </c>
    </row>
    <row r="35" spans="1:19" x14ac:dyDescent="0.25">
      <c r="C35" s="13">
        <f>+C34/C33</f>
        <v>0.13135391774052466</v>
      </c>
      <c r="D35" s="13">
        <f t="shared" ref="D35:E35" si="21">+D34/D33</f>
        <v>0.13296574906022673</v>
      </c>
      <c r="E35" s="13">
        <f t="shared" si="21"/>
        <v>0.10251609318105377</v>
      </c>
      <c r="F35" s="13">
        <f t="shared" ref="F35" si="22">+F34/F33</f>
        <v>0.11946328307006347</v>
      </c>
      <c r="G35" s="13">
        <f t="shared" ref="G35" si="23">+G34/G33</f>
        <v>9.7292338801867662E-2</v>
      </c>
      <c r="H35" s="13">
        <f t="shared" ref="H35" si="24">+H34/H33</f>
        <v>9.4724878471297458E-2</v>
      </c>
      <c r="I35" s="13">
        <f t="shared" ref="I35" si="25">+I34/I33</f>
        <v>0.11525364064904217</v>
      </c>
      <c r="J35" s="13">
        <f t="shared" ref="J35" si="26">+J34/J33</f>
        <v>0.10234307548710769</v>
      </c>
      <c r="K35" s="13">
        <f t="shared" ref="K35" si="27">+K34/K33</f>
        <v>0.12336707169084371</v>
      </c>
      <c r="L35" s="13">
        <f t="shared" ref="L35" si="28">+L34/L33</f>
        <v>8.8379903153309708E-2</v>
      </c>
      <c r="M35" s="13">
        <f t="shared" ref="M35" si="29">+M34/M33</f>
        <v>0.10747325419614577</v>
      </c>
      <c r="N35" s="13">
        <f t="shared" ref="N35" si="30">+N34/N33</f>
        <v>0.10654548547395272</v>
      </c>
      <c r="O35" s="13">
        <f t="shared" ref="O35" si="31">+O34/O33</f>
        <v>0.10298845935314006</v>
      </c>
      <c r="P35" s="13">
        <f t="shared" ref="P35" si="32">+P34/P33</f>
        <v>0.11300300358342578</v>
      </c>
      <c r="Q35" s="13">
        <f t="shared" ref="Q35" si="33">+Q34/Q33</f>
        <v>0.12407841493132891</v>
      </c>
      <c r="R35" s="13">
        <f t="shared" ref="R35" si="34">+R34/R33</f>
        <v>0.11268840081470621</v>
      </c>
      <c r="S35" s="13">
        <f t="shared" ref="S35" si="35">+S34/S33</f>
        <v>0.10906573183216919</v>
      </c>
    </row>
    <row r="36" spans="1:19" ht="15.75" thickBot="1" x14ac:dyDescent="0.3"/>
    <row r="37" spans="1:19" ht="15.75" thickBot="1" x14ac:dyDescent="0.3">
      <c r="A37" t="s">
        <v>14</v>
      </c>
      <c r="B37" t="s">
        <v>6</v>
      </c>
      <c r="C37" s="1">
        <f t="shared" ref="C37:S37" si="36">+C33/C5</f>
        <v>18482.166666666668</v>
      </c>
      <c r="D37" s="1">
        <f t="shared" si="36"/>
        <v>23383.3</v>
      </c>
      <c r="E37" s="10">
        <f t="shared" si="36"/>
        <v>18995.277777777777</v>
      </c>
      <c r="F37" s="12">
        <f t="shared" si="36"/>
        <v>19938.349999999999</v>
      </c>
      <c r="G37" s="11">
        <f t="shared" si="36"/>
        <v>18745.047619047618</v>
      </c>
      <c r="H37" s="1">
        <f t="shared" si="36"/>
        <v>20561.476190476191</v>
      </c>
      <c r="I37" s="10">
        <f t="shared" si="36"/>
        <v>24046.294117647059</v>
      </c>
      <c r="J37" s="12">
        <f t="shared" si="36"/>
        <v>20919.050847457627</v>
      </c>
      <c r="K37" s="11">
        <f t="shared" si="36"/>
        <v>27966.4375</v>
      </c>
      <c r="L37" s="1">
        <f t="shared" si="36"/>
        <v>23978.333333333332</v>
      </c>
      <c r="M37" s="10">
        <f t="shared" si="36"/>
        <v>22520.666666666668</v>
      </c>
      <c r="N37" s="12">
        <f t="shared" si="36"/>
        <v>24834.34693877551</v>
      </c>
      <c r="O37" s="11">
        <f t="shared" si="36"/>
        <v>20129.9375</v>
      </c>
      <c r="P37" s="1">
        <f t="shared" si="36"/>
        <v>19899.307692307691</v>
      </c>
      <c r="Q37" s="10">
        <f t="shared" si="36"/>
        <v>22261.916666666668</v>
      </c>
      <c r="R37" s="12">
        <f t="shared" si="36"/>
        <v>20680.804878048781</v>
      </c>
      <c r="S37" s="12">
        <f t="shared" si="36"/>
        <v>21674.888888888891</v>
      </c>
    </row>
    <row r="38" spans="1:19" ht="15.75" thickBot="1" x14ac:dyDescent="0.3">
      <c r="A38" t="s">
        <v>14</v>
      </c>
      <c r="B38" t="s">
        <v>10</v>
      </c>
      <c r="C38" s="13">
        <f t="shared" ref="C38:S38" si="37">+C34/C5</f>
        <v>2427.7049999999999</v>
      </c>
      <c r="D38" s="13">
        <f t="shared" si="37"/>
        <v>3109.1779999999999</v>
      </c>
      <c r="E38" s="14">
        <f t="shared" si="37"/>
        <v>1947.3216666666667</v>
      </c>
      <c r="F38" s="15">
        <f t="shared" si="37"/>
        <v>2381.9007499999998</v>
      </c>
      <c r="G38" s="16">
        <f t="shared" si="37"/>
        <v>1823.7495238095237</v>
      </c>
      <c r="H38" s="13">
        <f t="shared" si="37"/>
        <v>1947.6833333333332</v>
      </c>
      <c r="I38" s="14">
        <f t="shared" si="37"/>
        <v>2771.4229411764709</v>
      </c>
      <c r="J38" s="15">
        <f t="shared" si="37"/>
        <v>2140.92</v>
      </c>
      <c r="K38" s="16">
        <f t="shared" si="37"/>
        <v>3450.1374999999998</v>
      </c>
      <c r="L38" s="13">
        <f t="shared" si="37"/>
        <v>2119.202777777778</v>
      </c>
      <c r="M38" s="14">
        <f t="shared" si="37"/>
        <v>2420.3693333333335</v>
      </c>
      <c r="N38" s="15">
        <f t="shared" si="37"/>
        <v>2645.9875510204083</v>
      </c>
      <c r="O38" s="16">
        <f t="shared" si="37"/>
        <v>2073.1512499999999</v>
      </c>
      <c r="P38" s="13">
        <f t="shared" si="37"/>
        <v>2248.6815384615384</v>
      </c>
      <c r="Q38" s="14">
        <f t="shared" si="37"/>
        <v>2762.2233333333334</v>
      </c>
      <c r="R38" s="15">
        <f t="shared" si="37"/>
        <v>2330.4868292682927</v>
      </c>
      <c r="S38" s="15">
        <f t="shared" si="37"/>
        <v>2363.9876190476193</v>
      </c>
    </row>
    <row r="39" spans="1:19" ht="15.75" thickBot="1" x14ac:dyDescent="0.3">
      <c r="A39" t="s">
        <v>20</v>
      </c>
      <c r="B39" t="s">
        <v>6</v>
      </c>
      <c r="C39" s="30">
        <f>+C33/C6</f>
        <v>0.7233948866647858</v>
      </c>
      <c r="D39" s="30">
        <f t="shared" ref="D39:E39" si="38">+D33/D6</f>
        <v>0.90833977523899789</v>
      </c>
      <c r="E39" s="30">
        <f t="shared" si="38"/>
        <v>0.65555524665646026</v>
      </c>
      <c r="F39" s="31">
        <f t="shared" ref="F39" si="39">+F33/F6</f>
        <v>0.73465827180736654</v>
      </c>
      <c r="G39" s="30">
        <f>+G33/G6</f>
        <v>0.60001478522178975</v>
      </c>
      <c r="H39" s="30">
        <f t="shared" ref="H39:J39" si="40">+H33/H6</f>
        <v>0.66230844921032872</v>
      </c>
      <c r="I39" s="30">
        <f t="shared" si="40"/>
        <v>0.81204720671112407</v>
      </c>
      <c r="J39" s="31">
        <f t="shared" si="40"/>
        <v>0.6813601764811098</v>
      </c>
      <c r="K39" s="30">
        <f>+K33/K6</f>
        <v>0.95400159475351676</v>
      </c>
      <c r="L39" s="30">
        <f t="shared" ref="L39:N39" si="41">+L33/L6</f>
        <v>0.99304470668356981</v>
      </c>
      <c r="M39" s="30">
        <f t="shared" si="41"/>
        <v>0.8270200861025323</v>
      </c>
      <c r="N39" s="31">
        <f t="shared" si="41"/>
        <v>0.92740509283516404</v>
      </c>
      <c r="O39" s="30">
        <f>+O33/O6</f>
        <v>0.97860956067562188</v>
      </c>
      <c r="P39" s="30">
        <f t="shared" ref="P39:R39" si="42">+P33/P6</f>
        <v>0.85258387713400563</v>
      </c>
      <c r="Q39" s="30">
        <f t="shared" si="42"/>
        <v>0.79429897524868021</v>
      </c>
      <c r="R39" s="31">
        <f t="shared" si="42"/>
        <v>0.8751615938038807</v>
      </c>
      <c r="S39" s="31">
        <f>+S33/S6</f>
        <v>0.79114615510740727</v>
      </c>
    </row>
    <row r="40" spans="1:19" ht="15.75" thickBot="1" x14ac:dyDescent="0.3">
      <c r="A40" t="s">
        <v>19</v>
      </c>
      <c r="B40" t="s">
        <v>10</v>
      </c>
      <c r="C40" s="25">
        <f>+C34/C6</f>
        <v>9.5020752436882419E-2</v>
      </c>
      <c r="D40" s="25">
        <f t="shared" ref="D40:E40" si="43">+D34/D6</f>
        <v>0.12077807861585135</v>
      </c>
      <c r="E40" s="25">
        <f t="shared" si="43"/>
        <v>6.7204962751562361E-2</v>
      </c>
      <c r="F40" s="26">
        <f t="shared" ref="F40" si="44">+F34/F6</f>
        <v>8.7764689084687056E-2</v>
      </c>
      <c r="G40" s="25">
        <f>+G34/G6</f>
        <v>5.8376841769928231E-2</v>
      </c>
      <c r="H40" s="25">
        <f t="shared" ref="H40:J40" si="45">+H34/H6</f>
        <v>6.2737087361961874E-2</v>
      </c>
      <c r="I40" s="25">
        <f t="shared" si="45"/>
        <v>9.3591396952342365E-2</v>
      </c>
      <c r="J40" s="26">
        <f t="shared" si="45"/>
        <v>6.973249597551523E-2</v>
      </c>
      <c r="K40" s="25">
        <f>+K34/K6</f>
        <v>0.11769238313313633</v>
      </c>
      <c r="L40" s="25">
        <f t="shared" ref="L40:N40" si="46">+L34/L6</f>
        <v>8.7765195003600749E-2</v>
      </c>
      <c r="M40" s="25">
        <f t="shared" si="46"/>
        <v>8.8882539939015806E-2</v>
      </c>
      <c r="N40" s="26">
        <f t="shared" si="46"/>
        <v>9.8810825847138739E-2</v>
      </c>
      <c r="O40" s="25">
        <f>+O34/O6</f>
        <v>0.10078549096223553</v>
      </c>
      <c r="P40" s="25">
        <f t="shared" ref="P40:R40" si="47">+P34/P6</f>
        <v>9.6344538922945089E-2</v>
      </c>
      <c r="Q40" s="25">
        <f t="shared" si="47"/>
        <v>9.8555357830435106E-2</v>
      </c>
      <c r="R40" s="26">
        <f t="shared" si="47"/>
        <v>9.8620560460208825E-2</v>
      </c>
      <c r="S40" s="26">
        <f>+S34/S6</f>
        <v>8.6286934392996215E-2</v>
      </c>
    </row>
    <row r="42" spans="1:19" x14ac:dyDescent="0.25">
      <c r="A42" s="22" t="s">
        <v>16</v>
      </c>
    </row>
    <row r="43" spans="1:19" ht="15.75" thickBot="1" x14ac:dyDescent="0.3"/>
    <row r="44" spans="1:19" ht="15.75" thickBot="1" x14ac:dyDescent="0.3">
      <c r="A44" t="s">
        <v>14</v>
      </c>
      <c r="B44" t="s">
        <v>10</v>
      </c>
      <c r="C44" s="13">
        <f t="shared" ref="C44:S44" si="48">+C15+C26+C38</f>
        <v>4684.8416666666672</v>
      </c>
      <c r="D44" s="13">
        <f t="shared" si="48"/>
        <v>4839.9529999999995</v>
      </c>
      <c r="E44" s="13">
        <f t="shared" si="48"/>
        <v>3736.1166666666668</v>
      </c>
      <c r="F44" s="15">
        <f t="shared" si="48"/>
        <v>5212.0405000000001</v>
      </c>
      <c r="G44" s="13">
        <f t="shared" si="48"/>
        <v>3156.3523809523808</v>
      </c>
      <c r="H44" s="13">
        <f t="shared" si="48"/>
        <v>3160.2947619047618</v>
      </c>
      <c r="I44" s="13">
        <f t="shared" si="48"/>
        <v>4594.2070588235301</v>
      </c>
      <c r="J44" s="15">
        <f t="shared" si="48"/>
        <v>4490.0989830508479</v>
      </c>
      <c r="K44" s="13">
        <f t="shared" si="48"/>
        <v>4865.7643749999997</v>
      </c>
      <c r="L44" s="13">
        <f t="shared" si="48"/>
        <v>3464.1161111111114</v>
      </c>
      <c r="M44" s="13">
        <f t="shared" si="48"/>
        <v>3922.2273333333333</v>
      </c>
      <c r="N44" s="15">
        <f t="shared" si="48"/>
        <v>5079.7273469387756</v>
      </c>
      <c r="O44" s="13">
        <f t="shared" si="48"/>
        <v>3474.7249999999999</v>
      </c>
      <c r="P44" s="13">
        <f t="shared" si="48"/>
        <v>4083.4615384615381</v>
      </c>
      <c r="Q44" s="13">
        <f t="shared" si="48"/>
        <v>4953.5825000000004</v>
      </c>
      <c r="R44" s="15">
        <f t="shared" si="48"/>
        <v>4922.1256097560981</v>
      </c>
      <c r="S44" s="15">
        <f t="shared" si="48"/>
        <v>4889.4775132275136</v>
      </c>
    </row>
    <row r="45" spans="1:19" ht="15.75" thickBot="1" x14ac:dyDescent="0.3">
      <c r="A45" t="s">
        <v>19</v>
      </c>
      <c r="B45" t="s">
        <v>10</v>
      </c>
      <c r="C45" s="23">
        <f>+C17+C28+C40</f>
        <v>0.18336543369739114</v>
      </c>
      <c r="D45" s="23">
        <f t="shared" ref="D45:S45" si="49">+D17+D28+D40</f>
        <v>0.18801117978160969</v>
      </c>
      <c r="E45" s="23">
        <f t="shared" si="49"/>
        <v>0.12893893480301133</v>
      </c>
      <c r="F45" s="24">
        <f t="shared" si="49"/>
        <v>0.19204541330250507</v>
      </c>
      <c r="G45" s="23">
        <f t="shared" si="49"/>
        <v>0.10103245051332918</v>
      </c>
      <c r="H45" s="23">
        <f t="shared" si="49"/>
        <v>0.10179667565766315</v>
      </c>
      <c r="I45" s="23">
        <f t="shared" si="49"/>
        <v>0.15514710877765925</v>
      </c>
      <c r="J45" s="24">
        <f t="shared" si="49"/>
        <v>0.146248252744268</v>
      </c>
      <c r="K45" s="23">
        <f t="shared" si="49"/>
        <v>0.16598277751482823</v>
      </c>
      <c r="L45" s="23">
        <f t="shared" si="49"/>
        <v>0.14346377288424947</v>
      </c>
      <c r="M45" s="23">
        <f t="shared" si="49"/>
        <v>0.14403484741098718</v>
      </c>
      <c r="N45" s="24">
        <f t="shared" si="49"/>
        <v>0.18969554638900268</v>
      </c>
      <c r="O45" s="23">
        <f t="shared" si="49"/>
        <v>0.16892248700318122</v>
      </c>
      <c r="P45" s="23">
        <f t="shared" si="49"/>
        <v>0.17495550721771802</v>
      </c>
      <c r="Q45" s="23">
        <f t="shared" si="49"/>
        <v>0.17674244147410767</v>
      </c>
      <c r="R45" s="24">
        <f t="shared" si="49"/>
        <v>0.2082924392420199</v>
      </c>
      <c r="S45" s="24">
        <f t="shared" si="49"/>
        <v>0.17846879653704067</v>
      </c>
    </row>
    <row r="50" spans="1:19" x14ac:dyDescent="0.25">
      <c r="A50" t="s">
        <v>8</v>
      </c>
      <c r="C50" s="2">
        <f t="shared" ref="C50:E50" si="50">SUM(C51:C55)</f>
        <v>221786</v>
      </c>
      <c r="D50" s="2">
        <f t="shared" si="50"/>
        <v>233833</v>
      </c>
      <c r="E50" s="2">
        <f t="shared" si="50"/>
        <v>341915</v>
      </c>
      <c r="G50" s="2">
        <f>SUM(G51:G55)</f>
        <v>393646</v>
      </c>
      <c r="H50" s="2">
        <f>SUM(H51:H55)</f>
        <v>431791</v>
      </c>
      <c r="I50" s="2">
        <f>SUM(I51:I55)</f>
        <v>408787</v>
      </c>
      <c r="K50" s="2">
        <f t="shared" ref="K50:M50" si="51">SUM(K51:K55)</f>
        <v>447463</v>
      </c>
      <c r="L50" s="2">
        <f t="shared" si="51"/>
        <v>431610</v>
      </c>
      <c r="M50" s="2">
        <f t="shared" si="51"/>
        <v>337810</v>
      </c>
      <c r="O50" s="2">
        <f t="shared" ref="O50:Q50" si="52">SUM(O51:O55)</f>
        <v>322079</v>
      </c>
      <c r="P50" s="2">
        <f t="shared" si="52"/>
        <v>258691</v>
      </c>
      <c r="Q50" s="2">
        <f t="shared" si="52"/>
        <v>267143</v>
      </c>
      <c r="S50" s="5">
        <f>SUM(C50:R50)</f>
        <v>4096554</v>
      </c>
    </row>
    <row r="51" spans="1:19" x14ac:dyDescent="0.25">
      <c r="C51" s="5">
        <v>56684</v>
      </c>
      <c r="D51" s="5">
        <v>61217</v>
      </c>
      <c r="E51" s="5">
        <v>82243</v>
      </c>
      <c r="F51" s="5"/>
      <c r="G51" s="5">
        <v>274369</v>
      </c>
      <c r="H51" s="5">
        <v>281637</v>
      </c>
      <c r="I51" s="5">
        <v>74728</v>
      </c>
      <c r="J51" s="5"/>
      <c r="K51" s="5">
        <f>40271+129501</f>
        <v>169772</v>
      </c>
      <c r="L51" s="5">
        <v>431610</v>
      </c>
      <c r="M51" s="5">
        <v>95373</v>
      </c>
      <c r="N51" s="5"/>
      <c r="O51" s="5">
        <v>221873</v>
      </c>
      <c r="P51" s="5">
        <v>56270</v>
      </c>
      <c r="Q51" s="5">
        <v>63910</v>
      </c>
    </row>
    <row r="52" spans="1:19" x14ac:dyDescent="0.25">
      <c r="C52" s="5">
        <v>88170</v>
      </c>
      <c r="D52" s="5">
        <v>96791</v>
      </c>
      <c r="E52" s="5">
        <v>138395</v>
      </c>
      <c r="F52" s="5"/>
      <c r="G52" s="5">
        <v>119277</v>
      </c>
      <c r="H52" s="5">
        <v>150154</v>
      </c>
      <c r="I52" s="5">
        <v>57157</v>
      </c>
      <c r="J52" s="5"/>
      <c r="K52" s="5">
        <f>30118+101684</f>
        <v>131802</v>
      </c>
      <c r="L52" s="5"/>
      <c r="M52" s="5">
        <v>132327</v>
      </c>
      <c r="N52" s="5"/>
      <c r="O52" s="5">
        <v>100206</v>
      </c>
      <c r="P52" s="5">
        <v>110906</v>
      </c>
      <c r="Q52" s="5">
        <v>100516</v>
      </c>
    </row>
    <row r="53" spans="1:19" x14ac:dyDescent="0.25">
      <c r="C53" s="5">
        <v>76932</v>
      </c>
      <c r="D53" s="5">
        <v>75825</v>
      </c>
      <c r="E53" s="5">
        <v>121277</v>
      </c>
      <c r="F53" s="5"/>
      <c r="G53" s="5"/>
      <c r="H53" s="5"/>
      <c r="I53" s="5">
        <v>54854</v>
      </c>
      <c r="J53" s="5"/>
      <c r="K53" s="5">
        <f>20381+125508</f>
        <v>145889</v>
      </c>
      <c r="L53" s="5"/>
      <c r="M53" s="5">
        <v>110110</v>
      </c>
      <c r="N53" s="5"/>
      <c r="O53" s="5"/>
      <c r="P53" s="5">
        <v>91515</v>
      </c>
      <c r="Q53" s="5">
        <v>102717</v>
      </c>
    </row>
    <row r="54" spans="1:19" x14ac:dyDescent="0.25">
      <c r="I54" s="5">
        <v>78478</v>
      </c>
    </row>
    <row r="55" spans="1:19" x14ac:dyDescent="0.25">
      <c r="I55" s="5">
        <v>143570</v>
      </c>
    </row>
  </sheetData>
  <pageMargins left="0.27559055118110237" right="0.27559055118110237" top="0.41" bottom="0.53" header="0.19" footer="0.24"/>
  <pageSetup paperSize="9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55"/>
  <sheetViews>
    <sheetView workbookViewId="0">
      <selection activeCell="O21" activeCellId="3" sqref="C21:E28 G21:I28 K21:M28 O21:Q28"/>
    </sheetView>
  </sheetViews>
  <sheetFormatPr baseColWidth="10" defaultRowHeight="15" x14ac:dyDescent="0.25"/>
  <cols>
    <col min="1" max="1" width="15.7109375" customWidth="1"/>
    <col min="2" max="2" width="5" bestFit="1" customWidth="1"/>
    <col min="3" max="18" width="10.140625" bestFit="1" customWidth="1"/>
    <col min="19" max="19" width="11.7109375" bestFit="1" customWidth="1"/>
  </cols>
  <sheetData>
    <row r="1" spans="1:21" ht="18.75" x14ac:dyDescent="0.3">
      <c r="A1" s="3" t="s">
        <v>5</v>
      </c>
      <c r="B1" s="3"/>
    </row>
    <row r="2" spans="1:21" ht="27" thickBot="1" x14ac:dyDescent="0.45">
      <c r="A2" s="32">
        <v>2020</v>
      </c>
      <c r="B2" s="4"/>
    </row>
    <row r="3" spans="1:21" ht="15.75" thickBot="1" x14ac:dyDescent="0.3">
      <c r="C3" s="17">
        <v>43831</v>
      </c>
      <c r="D3" s="17">
        <v>43862</v>
      </c>
      <c r="E3" s="17">
        <v>43891</v>
      </c>
      <c r="F3" s="20" t="s">
        <v>0</v>
      </c>
      <c r="G3" s="19">
        <v>43922</v>
      </c>
      <c r="H3" s="19">
        <v>43952</v>
      </c>
      <c r="I3" s="19">
        <v>43983</v>
      </c>
      <c r="J3" s="20" t="s">
        <v>2</v>
      </c>
      <c r="K3" s="19">
        <v>44013</v>
      </c>
      <c r="L3" s="19">
        <v>44044</v>
      </c>
      <c r="M3" s="19">
        <v>44075</v>
      </c>
      <c r="N3" s="20" t="s">
        <v>3</v>
      </c>
      <c r="O3" s="19">
        <v>44105</v>
      </c>
      <c r="P3" s="19">
        <v>44136</v>
      </c>
      <c r="Q3" s="19">
        <v>44166</v>
      </c>
      <c r="R3" s="20" t="s">
        <v>4</v>
      </c>
      <c r="S3" s="21" t="s">
        <v>7</v>
      </c>
    </row>
    <row r="4" spans="1:21" ht="15.75" thickBot="1" x14ac:dyDescent="0.3"/>
    <row r="5" spans="1:21" ht="15.75" thickBot="1" x14ac:dyDescent="0.3">
      <c r="A5" t="s">
        <v>9</v>
      </c>
      <c r="C5" s="6">
        <v>11</v>
      </c>
      <c r="D5" s="6">
        <v>15</v>
      </c>
      <c r="E5" s="7">
        <v>11</v>
      </c>
      <c r="F5" s="9">
        <f>SUM(C5:E5)</f>
        <v>37</v>
      </c>
      <c r="G5" s="8">
        <v>13</v>
      </c>
      <c r="H5" s="6">
        <v>9</v>
      </c>
      <c r="I5" s="7">
        <v>10</v>
      </c>
      <c r="J5" s="9">
        <f>SUM(G5:I5)</f>
        <v>32</v>
      </c>
      <c r="K5" s="8">
        <v>11</v>
      </c>
      <c r="L5" s="6">
        <v>10</v>
      </c>
      <c r="M5" s="7">
        <v>9</v>
      </c>
      <c r="N5" s="9">
        <f>SUM(K5:M5)</f>
        <v>30</v>
      </c>
      <c r="O5" s="8">
        <v>11</v>
      </c>
      <c r="P5" s="6">
        <v>9</v>
      </c>
      <c r="Q5" s="7">
        <v>9</v>
      </c>
      <c r="R5" s="9">
        <f>SUM(O5:Q5)</f>
        <v>29</v>
      </c>
      <c r="S5" s="9">
        <f>F5+J5+N5+R5</f>
        <v>128</v>
      </c>
    </row>
    <row r="6" spans="1:21" ht="15.75" thickBot="1" x14ac:dyDescent="0.3">
      <c r="A6" t="s">
        <v>17</v>
      </c>
      <c r="C6" s="13">
        <v>332496.5</v>
      </c>
      <c r="D6" s="13">
        <v>240989.5</v>
      </c>
      <c r="E6" s="13">
        <v>311668.5</v>
      </c>
      <c r="F6" s="15">
        <f>SUM(C6:E6)</f>
        <v>885154.5</v>
      </c>
      <c r="G6" s="13">
        <v>260263</v>
      </c>
      <c r="H6" s="13">
        <v>171888</v>
      </c>
      <c r="I6" s="13">
        <v>222534</v>
      </c>
      <c r="J6" s="15">
        <f>SUM(G6:I6)</f>
        <v>654685</v>
      </c>
      <c r="K6" s="13">
        <v>264453</v>
      </c>
      <c r="L6" s="13">
        <v>266196.5</v>
      </c>
      <c r="M6" s="13">
        <v>216126</v>
      </c>
      <c r="N6" s="15">
        <f>SUM(K6:M6)</f>
        <v>746775.5</v>
      </c>
      <c r="O6" s="13">
        <v>185570</v>
      </c>
      <c r="P6" s="13">
        <v>165472.5</v>
      </c>
      <c r="Q6" s="13">
        <v>246048.5</v>
      </c>
      <c r="R6" s="15">
        <f>SUM(O6:Q6)</f>
        <v>597091</v>
      </c>
      <c r="S6" s="15">
        <f>F6+J6+N6+R6</f>
        <v>2883706</v>
      </c>
      <c r="T6" t="s">
        <v>22</v>
      </c>
    </row>
    <row r="8" spans="1:21" x14ac:dyDescent="0.25">
      <c r="A8" s="22" t="s">
        <v>11</v>
      </c>
      <c r="B8" s="22"/>
    </row>
    <row r="9" spans="1:21" ht="15.75" thickBot="1" x14ac:dyDescent="0.3"/>
    <row r="10" spans="1:21" ht="15.75" thickBot="1" x14ac:dyDescent="0.3">
      <c r="A10" t="s">
        <v>6</v>
      </c>
      <c r="C10" s="1">
        <v>737744</v>
      </c>
      <c r="D10" s="1">
        <v>568142</v>
      </c>
      <c r="E10" s="10">
        <v>577236</v>
      </c>
      <c r="F10" s="12">
        <f>SUM(C10:E10)</f>
        <v>1883122</v>
      </c>
      <c r="G10" s="11">
        <v>492973</v>
      </c>
      <c r="H10" s="1">
        <v>393595</v>
      </c>
      <c r="I10" s="10">
        <v>430742</v>
      </c>
      <c r="J10" s="12">
        <f>SUM(G10:I10)</f>
        <v>1317310</v>
      </c>
      <c r="K10" s="11">
        <v>428536</v>
      </c>
      <c r="L10" s="1">
        <v>411309</v>
      </c>
      <c r="M10" s="10">
        <v>426254</v>
      </c>
      <c r="N10" s="12">
        <f>SUM(K10:M10)</f>
        <v>1266099</v>
      </c>
      <c r="O10" s="11">
        <v>467233</v>
      </c>
      <c r="P10" s="1">
        <v>484724</v>
      </c>
      <c r="Q10" s="10">
        <v>646941</v>
      </c>
      <c r="R10" s="12">
        <f>SUM(O10:Q10)</f>
        <v>1598898</v>
      </c>
      <c r="S10" s="12">
        <f>F10+J10+N10+R10</f>
        <v>6065429</v>
      </c>
      <c r="T10">
        <f>+O10/2</f>
        <v>233616.5</v>
      </c>
      <c r="U10" s="5">
        <f>+P10+Q10+T10</f>
        <v>1365281.5</v>
      </c>
    </row>
    <row r="11" spans="1:21" ht="15.75" thickBot="1" x14ac:dyDescent="0.3">
      <c r="A11" t="s">
        <v>15</v>
      </c>
      <c r="C11" s="13">
        <f>29218.91+349.69</f>
        <v>29568.6</v>
      </c>
      <c r="D11" s="13">
        <f>22520.31+269.3</f>
        <v>22789.61</v>
      </c>
      <c r="E11" s="14">
        <v>23153.1</v>
      </c>
      <c r="F11" s="15">
        <f>SUM(C11:E11)</f>
        <v>75511.31</v>
      </c>
      <c r="G11" s="16">
        <v>11081.75</v>
      </c>
      <c r="H11" s="13">
        <v>9395.16</v>
      </c>
      <c r="I11" s="14">
        <v>9993.9699999999993</v>
      </c>
      <c r="J11" s="15">
        <f>SUM(G11:I11)</f>
        <v>30470.879999999997</v>
      </c>
      <c r="K11" s="16">
        <v>9958.41</v>
      </c>
      <c r="L11" s="13">
        <v>9680.7099999999991</v>
      </c>
      <c r="M11" s="14">
        <v>9921.6299999999992</v>
      </c>
      <c r="N11" s="15">
        <f>SUM(K11:M11)</f>
        <v>29560.75</v>
      </c>
      <c r="O11" s="16">
        <v>10485.08</v>
      </c>
      <c r="P11" s="13">
        <v>10778.37</v>
      </c>
      <c r="Q11" s="14">
        <v>13571.71</v>
      </c>
      <c r="R11" s="15">
        <f>SUM(O11:Q11)</f>
        <v>34835.160000000003</v>
      </c>
      <c r="S11" s="15">
        <f>F11+J11+N11+R11</f>
        <v>170378.1</v>
      </c>
    </row>
    <row r="12" spans="1:21" ht="15.75" thickBot="1" x14ac:dyDescent="0.3">
      <c r="A12" t="s">
        <v>23</v>
      </c>
      <c r="C12" s="13">
        <f>+C11/C10</f>
        <v>4.0079756663558092E-2</v>
      </c>
      <c r="D12" s="13">
        <f t="shared" ref="D12:R12" si="0">+D11/D10</f>
        <v>4.0112524685729976E-2</v>
      </c>
      <c r="E12" s="13">
        <f t="shared" si="0"/>
        <v>4.0110284181859759E-2</v>
      </c>
      <c r="F12" s="15">
        <f t="shared" si="0"/>
        <v>4.0099000489612464E-2</v>
      </c>
      <c r="G12" s="13">
        <f t="shared" si="0"/>
        <v>2.2479425850908671E-2</v>
      </c>
      <c r="H12" s="13">
        <f t="shared" si="0"/>
        <v>2.3870120301324967E-2</v>
      </c>
      <c r="I12" s="13">
        <f t="shared" si="0"/>
        <v>2.320175418231795E-2</v>
      </c>
      <c r="J12" s="15">
        <f t="shared" ref="J12" si="1">+J11/J10</f>
        <v>2.3131138456399782E-2</v>
      </c>
      <c r="K12" s="13">
        <f t="shared" si="0"/>
        <v>2.3238211025444769E-2</v>
      </c>
      <c r="L12" s="13">
        <f t="shared" si="0"/>
        <v>2.3536343722116462E-2</v>
      </c>
      <c r="M12" s="13">
        <f t="shared" si="0"/>
        <v>2.3276332890717739E-2</v>
      </c>
      <c r="N12" s="15">
        <f t="shared" ref="N12" si="2">+N11/N10</f>
        <v>2.3347897755230832E-2</v>
      </c>
      <c r="O12" s="13">
        <f t="shared" si="0"/>
        <v>2.2440795063704833E-2</v>
      </c>
      <c r="P12" s="13">
        <f t="shared" si="0"/>
        <v>2.2236097242967132E-2</v>
      </c>
      <c r="Q12" s="13">
        <f t="shared" si="0"/>
        <v>2.0978280863324476E-2</v>
      </c>
      <c r="R12" s="15">
        <f t="shared" si="0"/>
        <v>2.1786980783014304E-2</v>
      </c>
      <c r="S12" s="15">
        <f t="shared" ref="S12" si="3">+S11/S10</f>
        <v>2.8090032873190011E-2</v>
      </c>
    </row>
    <row r="13" spans="1:21" ht="15.75" thickBot="1" x14ac:dyDescent="0.3"/>
    <row r="14" spans="1:21" ht="15.75" thickBot="1" x14ac:dyDescent="0.3">
      <c r="A14" t="s">
        <v>14</v>
      </c>
      <c r="B14" t="s">
        <v>6</v>
      </c>
      <c r="C14" s="1">
        <f t="shared" ref="C14:S14" si="4">+C10/C5</f>
        <v>67067.636363636368</v>
      </c>
      <c r="D14" s="1">
        <f t="shared" si="4"/>
        <v>37876.133333333331</v>
      </c>
      <c r="E14" s="1">
        <f t="shared" si="4"/>
        <v>52476</v>
      </c>
      <c r="F14" s="12">
        <f t="shared" si="4"/>
        <v>50895.189189189186</v>
      </c>
      <c r="G14" s="1">
        <f t="shared" ref="G14:J14" si="5">+G10/G5</f>
        <v>37921</v>
      </c>
      <c r="H14" s="1">
        <f t="shared" si="5"/>
        <v>43732.777777777781</v>
      </c>
      <c r="I14" s="1">
        <f t="shared" si="5"/>
        <v>43074.2</v>
      </c>
      <c r="J14" s="12">
        <f t="shared" si="5"/>
        <v>41165.9375</v>
      </c>
      <c r="K14" s="1">
        <f t="shared" ref="K14:L14" si="6">+K10/K5</f>
        <v>38957.818181818184</v>
      </c>
      <c r="L14" s="1">
        <f t="shared" si="6"/>
        <v>41130.9</v>
      </c>
      <c r="M14" s="1">
        <f t="shared" ref="M14:N14" si="7">+M10/M5</f>
        <v>47361.555555555555</v>
      </c>
      <c r="N14" s="12">
        <f t="shared" si="7"/>
        <v>42203.3</v>
      </c>
      <c r="O14" s="1">
        <f t="shared" ref="O14:P14" si="8">+O10/O5</f>
        <v>42475.727272727272</v>
      </c>
      <c r="P14" s="1">
        <f t="shared" si="8"/>
        <v>53858.222222222219</v>
      </c>
      <c r="Q14" s="1">
        <f t="shared" ref="Q14:R14" si="9">+Q10/Q5</f>
        <v>71882.333333333328</v>
      </c>
      <c r="R14" s="12">
        <f t="shared" si="9"/>
        <v>55134.413793103449</v>
      </c>
      <c r="S14" s="12">
        <f t="shared" si="4"/>
        <v>47386.1640625</v>
      </c>
    </row>
    <row r="15" spans="1:21" ht="15.75" thickBot="1" x14ac:dyDescent="0.3">
      <c r="A15" t="s">
        <v>14</v>
      </c>
      <c r="B15" t="s">
        <v>10</v>
      </c>
      <c r="C15" s="13">
        <f t="shared" ref="C15:S15" si="10">+C11/C5</f>
        <v>2688.0545454545454</v>
      </c>
      <c r="D15" s="13">
        <f t="shared" si="10"/>
        <v>1519.3073333333334</v>
      </c>
      <c r="E15" s="13">
        <f t="shared" si="10"/>
        <v>2104.8272727272724</v>
      </c>
      <c r="F15" s="15">
        <f t="shared" si="10"/>
        <v>2040.8462162162161</v>
      </c>
      <c r="G15" s="13">
        <f t="shared" ref="G15:J15" si="11">+G11/G5</f>
        <v>852.44230769230774</v>
      </c>
      <c r="H15" s="13">
        <f t="shared" si="11"/>
        <v>1043.9066666666668</v>
      </c>
      <c r="I15" s="13">
        <f t="shared" si="11"/>
        <v>999.39699999999993</v>
      </c>
      <c r="J15" s="15">
        <f t="shared" si="11"/>
        <v>952.21499999999992</v>
      </c>
      <c r="K15" s="13">
        <f t="shared" ref="K15:L15" si="12">+K11/K5</f>
        <v>905.31</v>
      </c>
      <c r="L15" s="13">
        <f t="shared" si="12"/>
        <v>968.07099999999991</v>
      </c>
      <c r="M15" s="13">
        <f t="shared" ref="M15:N15" si="13">+M11/M5</f>
        <v>1102.4033333333332</v>
      </c>
      <c r="N15" s="15">
        <f t="shared" si="13"/>
        <v>985.35833333333335</v>
      </c>
      <c r="O15" s="13">
        <f t="shared" ref="O15:P15" si="14">+O11/O5</f>
        <v>953.18909090909085</v>
      </c>
      <c r="P15" s="13">
        <f t="shared" si="14"/>
        <v>1197.5966666666668</v>
      </c>
      <c r="Q15" s="13">
        <f t="shared" ref="Q15:R15" si="15">+Q11/Q5</f>
        <v>1507.9677777777777</v>
      </c>
      <c r="R15" s="15">
        <f t="shared" si="15"/>
        <v>1201.2124137931037</v>
      </c>
      <c r="S15" s="15">
        <f t="shared" si="10"/>
        <v>1331.07890625</v>
      </c>
    </row>
    <row r="16" spans="1:21" ht="15.75" thickBot="1" x14ac:dyDescent="0.3">
      <c r="A16" t="s">
        <v>20</v>
      </c>
      <c r="B16" t="s">
        <v>6</v>
      </c>
      <c r="C16" s="30">
        <f>+C10/C6</f>
        <v>2.2188023031821387</v>
      </c>
      <c r="D16" s="30">
        <f t="shared" ref="D16:F16" si="16">+D10/D6</f>
        <v>2.3575383989758891</v>
      </c>
      <c r="E16" s="30">
        <f t="shared" si="16"/>
        <v>1.8520832230398645</v>
      </c>
      <c r="F16" s="31">
        <f t="shared" si="16"/>
        <v>2.1274500666267868</v>
      </c>
      <c r="G16" s="30">
        <f t="shared" ref="G16:J16" si="17">+G10/G6</f>
        <v>1.8941340105969731</v>
      </c>
      <c r="H16" s="30">
        <f t="shared" si="17"/>
        <v>2.2898340780042821</v>
      </c>
      <c r="I16" s="30">
        <f t="shared" si="17"/>
        <v>1.9356233204813647</v>
      </c>
      <c r="J16" s="31">
        <f t="shared" si="17"/>
        <v>2.0121279699397419</v>
      </c>
      <c r="K16" s="30">
        <f t="shared" ref="K16:L16" si="18">+K10/K6</f>
        <v>1.6204618590070825</v>
      </c>
      <c r="L16" s="30">
        <f t="shared" si="18"/>
        <v>1.5451330126429161</v>
      </c>
      <c r="M16" s="30">
        <f t="shared" ref="M16:N16" si="19">+M10/M6</f>
        <v>1.9722476703404495</v>
      </c>
      <c r="N16" s="31">
        <f t="shared" si="19"/>
        <v>1.6954211807966384</v>
      </c>
      <c r="O16" s="30">
        <f t="shared" ref="O16:P16" si="20">+O10/O6</f>
        <v>2.5178261572452443</v>
      </c>
      <c r="P16" s="30">
        <f t="shared" si="20"/>
        <v>2.9293326685703063</v>
      </c>
      <c r="Q16" s="30">
        <f t="shared" ref="Q16:R16" si="21">+Q10/Q6</f>
        <v>2.6293230806121559</v>
      </c>
      <c r="R16" s="31">
        <f t="shared" si="21"/>
        <v>2.6778129296874345</v>
      </c>
      <c r="S16" s="31">
        <f>+S10/S6</f>
        <v>2.1033451398998371</v>
      </c>
    </row>
    <row r="17" spans="1:19" ht="15.75" thickBot="1" x14ac:dyDescent="0.3">
      <c r="A17" t="s">
        <v>19</v>
      </c>
      <c r="B17" t="s">
        <v>10</v>
      </c>
      <c r="C17" s="25">
        <f t="shared" ref="C17:S17" si="22">+C11/C6</f>
        <v>8.8929056396082354E-2</v>
      </c>
      <c r="D17" s="25">
        <f t="shared" si="22"/>
        <v>9.4566817226476668E-2</v>
      </c>
      <c r="E17" s="25">
        <f t="shared" si="22"/>
        <v>7.4287584404583717E-2</v>
      </c>
      <c r="F17" s="26">
        <f t="shared" si="22"/>
        <v>8.5308621263293583E-2</v>
      </c>
      <c r="G17" s="25">
        <f t="shared" ref="G17:J17" si="23">+G11/G6</f>
        <v>4.2579045042898916E-2</v>
      </c>
      <c r="H17" s="25">
        <f t="shared" si="23"/>
        <v>5.4658614912035747E-2</v>
      </c>
      <c r="I17" s="25">
        <f t="shared" si="23"/>
        <v>4.4909856471370663E-2</v>
      </c>
      <c r="J17" s="26">
        <f t="shared" si="23"/>
        <v>4.6542810664670795E-2</v>
      </c>
      <c r="K17" s="25">
        <f t="shared" ref="K17:L17" si="24">+K11/K6</f>
        <v>3.7656634638291116E-2</v>
      </c>
      <c r="L17" s="25">
        <f t="shared" si="24"/>
        <v>3.6366781681952988E-2</v>
      </c>
      <c r="M17" s="25">
        <f t="shared" ref="M17:N17" si="25">+M11/M6</f>
        <v>4.5906693317786844E-2</v>
      </c>
      <c r="N17" s="26">
        <f t="shared" si="25"/>
        <v>3.9584520381292634E-2</v>
      </c>
      <c r="O17" s="25">
        <f t="shared" ref="O17:P17" si="26">+O11/O6</f>
        <v>5.6502020800775987E-2</v>
      </c>
      <c r="P17" s="25">
        <f t="shared" si="26"/>
        <v>6.513692607532974E-2</v>
      </c>
      <c r="Q17" s="25">
        <f t="shared" ref="Q17:R17" si="27">+Q11/Q6</f>
        <v>5.5158678065503342E-2</v>
      </c>
      <c r="R17" s="26">
        <f t="shared" si="27"/>
        <v>5.8341458839607369E-2</v>
      </c>
      <c r="S17" s="26">
        <f t="shared" si="22"/>
        <v>5.9083034123450867E-2</v>
      </c>
    </row>
    <row r="19" spans="1:19" x14ac:dyDescent="0.25">
      <c r="A19" s="22" t="s">
        <v>12</v>
      </c>
      <c r="B19" s="22"/>
    </row>
    <row r="20" spans="1:19" ht="15.75" thickBot="1" x14ac:dyDescent="0.3"/>
    <row r="21" spans="1:19" ht="15.75" thickBot="1" x14ac:dyDescent="0.3">
      <c r="A21" t="s">
        <v>1</v>
      </c>
      <c r="C21" s="45"/>
      <c r="D21" s="45"/>
      <c r="E21" s="46"/>
      <c r="F21" s="12">
        <v>28550</v>
      </c>
      <c r="G21" s="51"/>
      <c r="H21" s="45"/>
      <c r="I21" s="46"/>
      <c r="J21" s="12">
        <v>21343</v>
      </c>
      <c r="K21" s="51"/>
      <c r="L21" s="45"/>
      <c r="M21" s="46"/>
      <c r="N21" s="12">
        <v>19683</v>
      </c>
      <c r="O21" s="51"/>
      <c r="P21" s="45"/>
      <c r="Q21" s="46"/>
      <c r="R21" s="12">
        <v>18417</v>
      </c>
      <c r="S21" s="12">
        <f>F21+J21+N21+R21</f>
        <v>87993</v>
      </c>
    </row>
    <row r="22" spans="1:19" ht="15.75" thickBot="1" x14ac:dyDescent="0.3">
      <c r="A22" t="s">
        <v>15</v>
      </c>
      <c r="C22" s="47"/>
      <c r="D22" s="47"/>
      <c r="E22" s="48"/>
      <c r="F22" s="15">
        <v>44346</v>
      </c>
      <c r="G22" s="52"/>
      <c r="H22" s="47"/>
      <c r="I22" s="48"/>
      <c r="J22" s="15">
        <v>33103.08</v>
      </c>
      <c r="K22" s="52"/>
      <c r="L22" s="47"/>
      <c r="M22" s="48"/>
      <c r="N22" s="15">
        <v>30513.48</v>
      </c>
      <c r="O22" s="52"/>
      <c r="P22" s="47"/>
      <c r="Q22" s="48"/>
      <c r="R22" s="15">
        <v>28538.52</v>
      </c>
      <c r="S22" s="15">
        <f>F22+J22+N22+R22</f>
        <v>136501.07999999999</v>
      </c>
    </row>
    <row r="23" spans="1:19" x14ac:dyDescent="0.25">
      <c r="C23" s="49"/>
      <c r="D23" s="49"/>
      <c r="E23" s="49"/>
      <c r="F23" s="28"/>
      <c r="G23" s="49"/>
      <c r="H23" s="49"/>
      <c r="I23" s="49"/>
      <c r="J23" s="28"/>
      <c r="K23" s="49"/>
      <c r="L23" s="49"/>
      <c r="M23" s="49"/>
      <c r="N23" s="28"/>
      <c r="O23" s="49"/>
      <c r="P23" s="49"/>
      <c r="Q23" s="49"/>
      <c r="R23" s="28"/>
      <c r="S23" s="28"/>
    </row>
    <row r="24" spans="1:19" ht="15.75" thickBot="1" x14ac:dyDescent="0.3">
      <c r="C24" s="54"/>
      <c r="D24" s="54"/>
      <c r="E24" s="54"/>
      <c r="G24" s="54"/>
      <c r="H24" s="54"/>
      <c r="I24" s="54"/>
      <c r="K24" s="54"/>
      <c r="L24" s="54"/>
      <c r="M24" s="54"/>
      <c r="O24" s="54"/>
      <c r="P24" s="54"/>
      <c r="Q24" s="54"/>
    </row>
    <row r="25" spans="1:19" ht="15.75" thickBot="1" x14ac:dyDescent="0.3">
      <c r="A25" t="s">
        <v>14</v>
      </c>
      <c r="B25" t="s">
        <v>1</v>
      </c>
      <c r="C25" s="45">
        <f t="shared" ref="C25:S25" si="28">+C21/C5</f>
        <v>0</v>
      </c>
      <c r="D25" s="45">
        <f t="shared" si="28"/>
        <v>0</v>
      </c>
      <c r="E25" s="46"/>
      <c r="F25" s="15">
        <f t="shared" si="28"/>
        <v>771.62162162162167</v>
      </c>
      <c r="G25" s="51"/>
      <c r="H25" s="45"/>
      <c r="I25" s="46"/>
      <c r="J25" s="15">
        <f t="shared" ref="J25" si="29">+J21/J5</f>
        <v>666.96875</v>
      </c>
      <c r="K25" s="51"/>
      <c r="L25" s="45"/>
      <c r="M25" s="46"/>
      <c r="N25" s="15">
        <f t="shared" ref="N25" si="30">+N21/N5</f>
        <v>656.1</v>
      </c>
      <c r="O25" s="51"/>
      <c r="P25" s="45"/>
      <c r="Q25" s="46"/>
      <c r="R25" s="15">
        <f t="shared" ref="R25" si="31">+R21/R5</f>
        <v>635.06896551724139</v>
      </c>
      <c r="S25" s="15">
        <f t="shared" si="28"/>
        <v>687.4453125</v>
      </c>
    </row>
    <row r="26" spans="1:19" ht="15.75" thickBot="1" x14ac:dyDescent="0.3">
      <c r="A26" t="s">
        <v>14</v>
      </c>
      <c r="B26" t="s">
        <v>10</v>
      </c>
      <c r="C26" s="47">
        <f t="shared" ref="C26:S26" si="32">+C22/C5</f>
        <v>0</v>
      </c>
      <c r="D26" s="47">
        <f t="shared" si="32"/>
        <v>0</v>
      </c>
      <c r="E26" s="48"/>
      <c r="F26" s="15">
        <f t="shared" si="32"/>
        <v>1198.5405405405406</v>
      </c>
      <c r="G26" s="52"/>
      <c r="H26" s="47"/>
      <c r="I26" s="48"/>
      <c r="J26" s="15">
        <f t="shared" ref="J26" si="33">+J22/J5</f>
        <v>1034.4712500000001</v>
      </c>
      <c r="K26" s="52"/>
      <c r="L26" s="47"/>
      <c r="M26" s="48"/>
      <c r="N26" s="15">
        <f t="shared" ref="N26" si="34">+N22/N5</f>
        <v>1017.116</v>
      </c>
      <c r="O26" s="52"/>
      <c r="P26" s="47"/>
      <c r="Q26" s="48"/>
      <c r="R26" s="15">
        <f t="shared" ref="R26" si="35">+R22/R5</f>
        <v>984.08689655172418</v>
      </c>
      <c r="S26" s="15">
        <f t="shared" si="32"/>
        <v>1066.4146874999999</v>
      </c>
    </row>
    <row r="27" spans="1:19" ht="15.75" thickBot="1" x14ac:dyDescent="0.3">
      <c r="A27" t="s">
        <v>21</v>
      </c>
      <c r="B27" t="s">
        <v>1</v>
      </c>
      <c r="C27" s="50">
        <f>+C21/C6</f>
        <v>0</v>
      </c>
      <c r="D27" s="50">
        <f t="shared" ref="D27:F27" si="36">+D21/D6</f>
        <v>0</v>
      </c>
      <c r="E27" s="50"/>
      <c r="F27" s="31">
        <f t="shared" si="36"/>
        <v>3.2254256177876292E-2</v>
      </c>
      <c r="G27" s="50"/>
      <c r="H27" s="50"/>
      <c r="I27" s="50"/>
      <c r="J27" s="31">
        <f t="shared" ref="J27" si="37">+J21/J6</f>
        <v>3.2600410884623905E-2</v>
      </c>
      <c r="K27" s="50"/>
      <c r="L27" s="50"/>
      <c r="M27" s="50"/>
      <c r="N27" s="31">
        <f t="shared" ref="N27" si="38">+N21/N6</f>
        <v>2.6357318899722874E-2</v>
      </c>
      <c r="O27" s="50"/>
      <c r="P27" s="50"/>
      <c r="Q27" s="50"/>
      <c r="R27" s="31">
        <f t="shared" ref="R27" si="39">+R21/R6</f>
        <v>3.0844544633900024E-2</v>
      </c>
      <c r="S27" s="31">
        <f>+S21/S6</f>
        <v>3.0513859595950488E-2</v>
      </c>
    </row>
    <row r="28" spans="1:19" ht="15.75" thickBot="1" x14ac:dyDescent="0.3">
      <c r="A28" t="s">
        <v>19</v>
      </c>
      <c r="B28" t="s">
        <v>10</v>
      </c>
      <c r="C28" s="50">
        <f>+C22/C6</f>
        <v>0</v>
      </c>
      <c r="D28" s="50">
        <f t="shared" ref="D28:F28" si="40">+D22/D6</f>
        <v>0</v>
      </c>
      <c r="E28" s="50"/>
      <c r="F28" s="26">
        <f t="shared" si="40"/>
        <v>5.009972835250795E-2</v>
      </c>
      <c r="G28" s="50"/>
      <c r="H28" s="50"/>
      <c r="I28" s="50"/>
      <c r="J28" s="26">
        <f t="shared" ref="J28" si="41">+J22/J6</f>
        <v>5.0563370170387291E-2</v>
      </c>
      <c r="K28" s="50"/>
      <c r="L28" s="50"/>
      <c r="M28" s="50"/>
      <c r="N28" s="26">
        <f t="shared" ref="N28" si="42">+N22/N6</f>
        <v>4.0860312101829797E-2</v>
      </c>
      <c r="O28" s="50"/>
      <c r="P28" s="50"/>
      <c r="Q28" s="50"/>
      <c r="R28" s="26">
        <f t="shared" ref="R28" si="43">+R22/R6</f>
        <v>4.7795930603542841E-2</v>
      </c>
      <c r="S28" s="26">
        <f>+S22/S6</f>
        <v>4.7335297010166776E-2</v>
      </c>
    </row>
    <row r="31" spans="1:19" x14ac:dyDescent="0.25">
      <c r="A31" s="22" t="s">
        <v>13</v>
      </c>
      <c r="B31" s="22"/>
    </row>
    <row r="32" spans="1:19" ht="15.75" thickBot="1" x14ac:dyDescent="0.3"/>
    <row r="33" spans="1:21" ht="15.75" thickBot="1" x14ac:dyDescent="0.3">
      <c r="A33" t="s">
        <v>6</v>
      </c>
      <c r="C33" s="1">
        <f>+C50</f>
        <v>261491</v>
      </c>
      <c r="D33" s="1">
        <f>+D50</f>
        <v>235152</v>
      </c>
      <c r="E33" s="10">
        <f>+E50</f>
        <v>261388</v>
      </c>
      <c r="F33" s="12">
        <f>SUM(C33:E33)</f>
        <v>758031</v>
      </c>
      <c r="G33" s="11">
        <f>+G50</f>
        <v>228405</v>
      </c>
      <c r="H33" s="1">
        <f>+H50</f>
        <v>218378</v>
      </c>
      <c r="I33" s="10">
        <f>+I50</f>
        <v>240233</v>
      </c>
      <c r="J33" s="12">
        <f>SUM(G33:I33)</f>
        <v>687016</v>
      </c>
      <c r="K33" s="11">
        <f>+K50</f>
        <v>288069</v>
      </c>
      <c r="L33" s="1">
        <f>+L50</f>
        <v>287980</v>
      </c>
      <c r="M33" s="10">
        <f>+M50</f>
        <v>255282</v>
      </c>
      <c r="N33" s="12">
        <f>SUM(K33:M33)</f>
        <v>831331</v>
      </c>
      <c r="O33" s="11">
        <f>+O50</f>
        <v>220209</v>
      </c>
      <c r="P33" s="1">
        <f>+P50</f>
        <v>203393</v>
      </c>
      <c r="Q33" s="10">
        <f>+Q50</f>
        <v>221138</v>
      </c>
      <c r="R33" s="12">
        <f>SUM(O33:Q33)</f>
        <v>644740</v>
      </c>
      <c r="S33" s="12">
        <f>F33+J33+N33+R33</f>
        <v>2921118</v>
      </c>
      <c r="T33">
        <f>+O33/2</f>
        <v>110104.5</v>
      </c>
      <c r="U33" s="5">
        <f>+T33+P33+Q33</f>
        <v>534635.5</v>
      </c>
    </row>
    <row r="34" spans="1:21" ht="15.75" thickBot="1" x14ac:dyDescent="0.3">
      <c r="A34" t="s">
        <v>15</v>
      </c>
      <c r="C34" s="13">
        <v>32644.080000000002</v>
      </c>
      <c r="D34" s="13">
        <v>28837.279999999999</v>
      </c>
      <c r="E34" s="14">
        <v>27251.62</v>
      </c>
      <c r="F34" s="15">
        <f>SUM(C34:E34)</f>
        <v>88732.98</v>
      </c>
      <c r="G34" s="16">
        <v>23811.59</v>
      </c>
      <c r="H34" s="13">
        <v>23087.15</v>
      </c>
      <c r="I34" s="14">
        <v>27669.599999999999</v>
      </c>
      <c r="J34" s="15">
        <f>SUM(G34:I34)</f>
        <v>74568.34</v>
      </c>
      <c r="K34" s="16">
        <v>34030.81</v>
      </c>
      <c r="L34" s="13">
        <v>26078.19</v>
      </c>
      <c r="M34" s="14">
        <v>26772.35</v>
      </c>
      <c r="N34" s="15">
        <f>SUM(K34:M34)</f>
        <v>86881.35</v>
      </c>
      <c r="O34" s="16">
        <v>23335.37</v>
      </c>
      <c r="P34" s="13">
        <f>9028.54+14111.2</f>
        <v>23139.74</v>
      </c>
      <c r="Q34" s="14">
        <v>25829.439999999999</v>
      </c>
      <c r="R34" s="12">
        <f t="shared" ref="R34:R35" si="44">SUM(O34:Q34)</f>
        <v>72304.55</v>
      </c>
      <c r="S34" s="15">
        <f>F34+J34+N34+R34</f>
        <v>322487.22000000003</v>
      </c>
    </row>
    <row r="35" spans="1:21" ht="15.75" thickBot="1" x14ac:dyDescent="0.3">
      <c r="A35" t="s">
        <v>23</v>
      </c>
      <c r="C35" s="13">
        <f>+C34/C33</f>
        <v>0.12483825447147322</v>
      </c>
      <c r="D35" s="13">
        <f t="shared" ref="D35:Q35" si="45">+D34/D33</f>
        <v>0.12263251003606178</v>
      </c>
      <c r="E35" s="13">
        <f t="shared" si="45"/>
        <v>0.10425734922796762</v>
      </c>
      <c r="F35" s="15">
        <f t="shared" si="45"/>
        <v>0.11705719159242828</v>
      </c>
      <c r="G35" s="13">
        <f t="shared" si="45"/>
        <v>0.10425161445677635</v>
      </c>
      <c r="H35" s="13">
        <f t="shared" si="45"/>
        <v>0.10572104332854043</v>
      </c>
      <c r="I35" s="13">
        <f t="shared" si="45"/>
        <v>0.11517818118243538</v>
      </c>
      <c r="J35" s="15">
        <f t="shared" ref="J35" si="46">+J34/J33</f>
        <v>0.10853945177404893</v>
      </c>
      <c r="K35" s="13">
        <f t="shared" si="45"/>
        <v>0.11813423172920376</v>
      </c>
      <c r="L35" s="13">
        <f t="shared" si="45"/>
        <v>9.0555559413848186E-2</v>
      </c>
      <c r="M35" s="13">
        <f t="shared" si="45"/>
        <v>0.10487362994649055</v>
      </c>
      <c r="N35" s="15">
        <f t="shared" ref="N35" si="47">+N34/N33</f>
        <v>0.10450873358505819</v>
      </c>
      <c r="O35" s="13">
        <f t="shared" si="45"/>
        <v>0.10596919290310568</v>
      </c>
      <c r="P35" s="13">
        <f t="shared" si="45"/>
        <v>0.11376861543907608</v>
      </c>
      <c r="Q35" s="13">
        <f t="shared" si="45"/>
        <v>0.11680235870813699</v>
      </c>
      <c r="R35" s="12">
        <f t="shared" si="44"/>
        <v>0.33654016705031875</v>
      </c>
      <c r="S35" s="15">
        <f t="shared" ref="S35" si="48">+S34/S33</f>
        <v>0.11039855972952822</v>
      </c>
    </row>
    <row r="36" spans="1:21" ht="15.75" thickBot="1" x14ac:dyDescent="0.3"/>
    <row r="37" spans="1:21" ht="15.75" thickBot="1" x14ac:dyDescent="0.3">
      <c r="A37" t="s">
        <v>14</v>
      </c>
      <c r="B37" t="s">
        <v>6</v>
      </c>
      <c r="C37" s="1">
        <f t="shared" ref="C37:S37" si="49">+C33/C5</f>
        <v>23771.909090909092</v>
      </c>
      <c r="D37" s="1">
        <f t="shared" si="49"/>
        <v>15676.8</v>
      </c>
      <c r="E37" s="1">
        <f t="shared" si="49"/>
        <v>23762.545454545456</v>
      </c>
      <c r="F37" s="12">
        <f t="shared" si="49"/>
        <v>20487.324324324323</v>
      </c>
      <c r="G37" s="1">
        <f t="shared" si="49"/>
        <v>17569.615384615383</v>
      </c>
      <c r="H37" s="1">
        <f t="shared" ref="H37:J37" si="50">+H33/H5</f>
        <v>24264.222222222223</v>
      </c>
      <c r="I37" s="1">
        <f t="shared" si="50"/>
        <v>24023.3</v>
      </c>
      <c r="J37" s="12">
        <f t="shared" si="50"/>
        <v>21469.25</v>
      </c>
      <c r="K37" s="1">
        <f t="shared" ref="K37:L37" si="51">+K33/K5</f>
        <v>26188.090909090908</v>
      </c>
      <c r="L37" s="1">
        <f t="shared" si="51"/>
        <v>28798</v>
      </c>
      <c r="M37" s="1">
        <f t="shared" ref="M37:N37" si="52">+M33/M5</f>
        <v>28364.666666666668</v>
      </c>
      <c r="N37" s="12">
        <f t="shared" si="52"/>
        <v>27711.033333333333</v>
      </c>
      <c r="O37" s="1">
        <f t="shared" ref="O37:P37" si="53">+O33/O5</f>
        <v>20019</v>
      </c>
      <c r="P37" s="1">
        <f t="shared" si="53"/>
        <v>22599.222222222223</v>
      </c>
      <c r="Q37" s="1">
        <f t="shared" ref="Q37:R37" si="54">+Q33/Q5</f>
        <v>24570.888888888891</v>
      </c>
      <c r="R37" s="12">
        <f t="shared" si="54"/>
        <v>22232.413793103449</v>
      </c>
      <c r="S37" s="12">
        <f t="shared" si="49"/>
        <v>22821.234375</v>
      </c>
    </row>
    <row r="38" spans="1:21" ht="15.75" thickBot="1" x14ac:dyDescent="0.3">
      <c r="A38" t="s">
        <v>14</v>
      </c>
      <c r="B38" t="s">
        <v>10</v>
      </c>
      <c r="C38" s="13">
        <f t="shared" ref="C38:S38" si="55">+C34/C5</f>
        <v>2967.6436363636367</v>
      </c>
      <c r="D38" s="13">
        <f t="shared" si="55"/>
        <v>1922.4853333333333</v>
      </c>
      <c r="E38" s="13">
        <f t="shared" si="55"/>
        <v>2477.42</v>
      </c>
      <c r="F38" s="15">
        <f t="shared" si="55"/>
        <v>2398.1886486486487</v>
      </c>
      <c r="G38" s="13">
        <f t="shared" si="55"/>
        <v>1831.6607692307693</v>
      </c>
      <c r="H38" s="13">
        <f t="shared" ref="H38:J38" si="56">+H34/H5</f>
        <v>2565.2388888888891</v>
      </c>
      <c r="I38" s="13">
        <f t="shared" si="56"/>
        <v>2766.96</v>
      </c>
      <c r="J38" s="15">
        <f t="shared" si="56"/>
        <v>2330.2606249999999</v>
      </c>
      <c r="K38" s="13">
        <f t="shared" ref="K38:L38" si="57">+K34/K5</f>
        <v>3093.7099999999996</v>
      </c>
      <c r="L38" s="13">
        <f t="shared" si="57"/>
        <v>2607.819</v>
      </c>
      <c r="M38" s="13">
        <f t="shared" ref="M38:N38" si="58">+M34/M5</f>
        <v>2974.7055555555553</v>
      </c>
      <c r="N38" s="15">
        <f t="shared" si="58"/>
        <v>2896.0450000000001</v>
      </c>
      <c r="O38" s="13">
        <f t="shared" ref="O38:P38" si="59">+O34/O5</f>
        <v>2121.3972727272726</v>
      </c>
      <c r="P38" s="13">
        <f t="shared" si="59"/>
        <v>2571.0822222222223</v>
      </c>
      <c r="Q38" s="13">
        <f t="shared" ref="Q38:R38" si="60">+Q34/Q5</f>
        <v>2869.9377777777777</v>
      </c>
      <c r="R38" s="15">
        <f t="shared" si="60"/>
        <v>2493.2603448275863</v>
      </c>
      <c r="S38" s="15">
        <f t="shared" si="55"/>
        <v>2519.4314062500002</v>
      </c>
    </row>
    <row r="39" spans="1:21" ht="15.75" thickBot="1" x14ac:dyDescent="0.3">
      <c r="A39" t="s">
        <v>20</v>
      </c>
      <c r="B39" t="s">
        <v>6</v>
      </c>
      <c r="C39" s="30">
        <f>+C33/C6</f>
        <v>0.78644737613779392</v>
      </c>
      <c r="D39" s="30">
        <f t="shared" ref="D39:G39" si="61">+D33/D6</f>
        <v>0.97577695293778355</v>
      </c>
      <c r="E39" s="30">
        <f t="shared" si="61"/>
        <v>0.83867314149488958</v>
      </c>
      <c r="F39" s="31">
        <f t="shared" si="61"/>
        <v>0.85638269929147959</v>
      </c>
      <c r="G39" s="30">
        <f t="shared" si="61"/>
        <v>0.87759305010700717</v>
      </c>
      <c r="H39" s="30">
        <f t="shared" ref="H39:J39" si="62">+H33/H6</f>
        <v>1.2704668156008563</v>
      </c>
      <c r="I39" s="30">
        <f t="shared" si="62"/>
        <v>1.0795339139187721</v>
      </c>
      <c r="J39" s="31">
        <f t="shared" si="62"/>
        <v>1.0493840549271787</v>
      </c>
      <c r="K39" s="30">
        <f t="shared" ref="K39:L39" si="63">+K33/K6</f>
        <v>1.0893013125205613</v>
      </c>
      <c r="L39" s="30">
        <f t="shared" si="63"/>
        <v>1.0818324057604063</v>
      </c>
      <c r="M39" s="30">
        <f t="shared" ref="M39:N39" si="64">+M33/M6</f>
        <v>1.1811720940562449</v>
      </c>
      <c r="N39" s="31">
        <f t="shared" si="64"/>
        <v>1.1132274692996758</v>
      </c>
      <c r="O39" s="30">
        <f t="shared" ref="O39:P39" si="65">+O33/O6</f>
        <v>1.1866627148784825</v>
      </c>
      <c r="P39" s="30">
        <f t="shared" si="65"/>
        <v>1.2291649669884723</v>
      </c>
      <c r="Q39" s="30">
        <f t="shared" ref="Q39:R39" si="66">+Q33/Q6</f>
        <v>0.89875776523734141</v>
      </c>
      <c r="R39" s="31">
        <f t="shared" si="66"/>
        <v>1.0798019062420972</v>
      </c>
      <c r="S39" s="31">
        <f>+S33/S6</f>
        <v>1.0129735832987135</v>
      </c>
    </row>
    <row r="40" spans="1:21" ht="15.75" thickBot="1" x14ac:dyDescent="0.3">
      <c r="A40" t="s">
        <v>19</v>
      </c>
      <c r="B40" t="s">
        <v>10</v>
      </c>
      <c r="C40" s="25">
        <f>+C34/C6</f>
        <v>9.8178717670712332E-2</v>
      </c>
      <c r="D40" s="25">
        <f t="shared" ref="D40:G40" si="67">+D34/D6</f>
        <v>0.11966197697410053</v>
      </c>
      <c r="E40" s="25">
        <f t="shared" si="67"/>
        <v>8.7437838600949405E-2</v>
      </c>
      <c r="F40" s="26">
        <f t="shared" si="67"/>
        <v>0.10024575370740361</v>
      </c>
      <c r="G40" s="25">
        <f t="shared" si="67"/>
        <v>9.1490492309702104E-2</v>
      </c>
      <c r="H40" s="25">
        <f t="shared" ref="H40:J40" si="68">+H34/H6</f>
        <v>0.13431507725961092</v>
      </c>
      <c r="I40" s="25">
        <f t="shared" si="68"/>
        <v>0.12433875272991991</v>
      </c>
      <c r="J40" s="26">
        <f t="shared" si="68"/>
        <v>0.11389957002222442</v>
      </c>
      <c r="K40" s="25">
        <f t="shared" ref="K40:L40" si="69">+K34/K6</f>
        <v>0.1286837736762298</v>
      </c>
      <c r="L40" s="25">
        <f t="shared" si="69"/>
        <v>9.796593869566278E-2</v>
      </c>
      <c r="M40" s="25">
        <f t="shared" ref="M40:N40" si="70">+M34/M6</f>
        <v>0.12387380509517595</v>
      </c>
      <c r="N40" s="26">
        <f t="shared" si="70"/>
        <v>0.11634199300860835</v>
      </c>
      <c r="O40" s="25">
        <f t="shared" ref="O40:P40" si="71">+O34/O6</f>
        <v>0.12574969014388102</v>
      </c>
      <c r="P40" s="25">
        <f t="shared" si="71"/>
        <v>0.13984039644049617</v>
      </c>
      <c r="Q40" s="25">
        <f t="shared" ref="Q40:R40" si="72">+Q34/Q6</f>
        <v>0.10497702688697554</v>
      </c>
      <c r="R40" s="26">
        <f t="shared" si="72"/>
        <v>0.12109469075903004</v>
      </c>
      <c r="S40" s="26">
        <f>+S34/S6</f>
        <v>0.11183082464023726</v>
      </c>
    </row>
    <row r="42" spans="1:21" x14ac:dyDescent="0.25">
      <c r="A42" s="22" t="s">
        <v>16</v>
      </c>
    </row>
    <row r="43" spans="1:21" ht="15.75" thickBot="1" x14ac:dyDescent="0.3"/>
    <row r="44" spans="1:21" ht="15.75" thickBot="1" x14ac:dyDescent="0.3">
      <c r="A44" t="s">
        <v>14</v>
      </c>
      <c r="B44" t="s">
        <v>10</v>
      </c>
      <c r="C44" s="1">
        <f>IF(+C5&gt;0,+(C15+C26+C38),"")</f>
        <v>5655.6981818181821</v>
      </c>
      <c r="D44" s="13">
        <f t="shared" ref="D44:S44" si="73">IF(+D5&gt;0,+(D15+D26+D38),"")</f>
        <v>3441.7926666666667</v>
      </c>
      <c r="E44" s="13">
        <f t="shared" si="73"/>
        <v>4582.2472727272725</v>
      </c>
      <c r="F44" s="15">
        <f t="shared" si="73"/>
        <v>5637.575405405405</v>
      </c>
      <c r="G44" s="13">
        <f t="shared" si="73"/>
        <v>2684.103076923077</v>
      </c>
      <c r="H44" s="13">
        <f t="shared" si="73"/>
        <v>3609.1455555555558</v>
      </c>
      <c r="I44" s="13">
        <f t="shared" si="73"/>
        <v>3766.357</v>
      </c>
      <c r="J44" s="15">
        <f t="shared" si="73"/>
        <v>4316.9468749999996</v>
      </c>
      <c r="K44" s="13">
        <f t="shared" si="73"/>
        <v>3999.0199999999995</v>
      </c>
      <c r="L44" s="13">
        <f t="shared" si="73"/>
        <v>3575.89</v>
      </c>
      <c r="M44" s="13">
        <f t="shared" si="73"/>
        <v>4077.1088888888885</v>
      </c>
      <c r="N44" s="15">
        <f t="shared" si="73"/>
        <v>4898.5193333333336</v>
      </c>
      <c r="O44" s="13">
        <f t="shared" si="73"/>
        <v>3074.5863636363633</v>
      </c>
      <c r="P44" s="13">
        <f t="shared" si="73"/>
        <v>3768.6788888888891</v>
      </c>
      <c r="Q44" s="13">
        <f t="shared" si="73"/>
        <v>4377.9055555555551</v>
      </c>
      <c r="R44" s="15">
        <f t="shared" si="73"/>
        <v>4678.5596551724138</v>
      </c>
      <c r="S44" s="13">
        <f t="shared" si="73"/>
        <v>4916.9250000000002</v>
      </c>
    </row>
    <row r="45" spans="1:21" ht="15.75" thickBot="1" x14ac:dyDescent="0.3">
      <c r="A45" t="s">
        <v>19</v>
      </c>
      <c r="B45" t="s">
        <v>10</v>
      </c>
      <c r="C45" s="23">
        <f>+C17+C28+C40</f>
        <v>0.18710777406679469</v>
      </c>
      <c r="D45" s="23">
        <f t="shared" ref="D45:S45" si="74">+D17+D28+D40</f>
        <v>0.21422879420057719</v>
      </c>
      <c r="E45" s="23">
        <f t="shared" si="74"/>
        <v>0.16172542300553311</v>
      </c>
      <c r="F45" s="24">
        <f t="shared" si="74"/>
        <v>0.23565410332320513</v>
      </c>
      <c r="G45" s="23">
        <f t="shared" si="74"/>
        <v>0.13406953735260102</v>
      </c>
      <c r="H45" s="23">
        <f t="shared" si="74"/>
        <v>0.18897369217164667</v>
      </c>
      <c r="I45" s="23">
        <f t="shared" si="74"/>
        <v>0.16924860920129059</v>
      </c>
      <c r="J45" s="24">
        <f t="shared" si="74"/>
        <v>0.21100575085728251</v>
      </c>
      <c r="K45" s="23">
        <f t="shared" si="74"/>
        <v>0.1663404083145209</v>
      </c>
      <c r="L45" s="23">
        <f t="shared" si="74"/>
        <v>0.13433272037761576</v>
      </c>
      <c r="M45" s="23">
        <f t="shared" si="74"/>
        <v>0.1697804984129628</v>
      </c>
      <c r="N45" s="24">
        <f t="shared" si="74"/>
        <v>0.19678682549173077</v>
      </c>
      <c r="O45" s="23">
        <f t="shared" si="74"/>
        <v>0.182251710944657</v>
      </c>
      <c r="P45" s="23">
        <f t="shared" si="74"/>
        <v>0.2049773225158259</v>
      </c>
      <c r="Q45" s="23">
        <f t="shared" si="74"/>
        <v>0.16013570495247886</v>
      </c>
      <c r="R45" s="24">
        <f t="shared" si="74"/>
        <v>0.22723208020218025</v>
      </c>
      <c r="S45" s="24">
        <f t="shared" si="74"/>
        <v>0.2182491557738549</v>
      </c>
    </row>
    <row r="50" spans="1:19" x14ac:dyDescent="0.25">
      <c r="A50" t="s">
        <v>8</v>
      </c>
      <c r="C50" s="2">
        <f t="shared" ref="C50:E50" si="75">SUM(C51:C55)</f>
        <v>261491</v>
      </c>
      <c r="D50" s="2">
        <f t="shared" si="75"/>
        <v>235152</v>
      </c>
      <c r="E50" s="2">
        <f t="shared" si="75"/>
        <v>261388</v>
      </c>
      <c r="G50" s="2">
        <f>SUM(G51:G55)</f>
        <v>228405</v>
      </c>
      <c r="H50" s="2">
        <f>SUM(H51:H55)</f>
        <v>218378</v>
      </c>
      <c r="I50" s="2">
        <f>SUM(I51:I55)</f>
        <v>240233</v>
      </c>
      <c r="K50" s="2">
        <f t="shared" ref="K50:M50" si="76">SUM(K51:K55)</f>
        <v>288069</v>
      </c>
      <c r="L50" s="2">
        <f t="shared" si="76"/>
        <v>287980</v>
      </c>
      <c r="M50" s="2">
        <f t="shared" si="76"/>
        <v>255282</v>
      </c>
      <c r="O50" s="2">
        <f t="shared" ref="O50:Q50" si="77">SUM(O51:O55)</f>
        <v>220209</v>
      </c>
      <c r="P50" s="2">
        <f t="shared" si="77"/>
        <v>203393</v>
      </c>
      <c r="Q50" s="2">
        <f t="shared" si="77"/>
        <v>221138</v>
      </c>
      <c r="S50" s="5">
        <f>SUM(C50:R50)</f>
        <v>2921118</v>
      </c>
    </row>
    <row r="51" spans="1:19" x14ac:dyDescent="0.25">
      <c r="C51" s="5">
        <v>63073</v>
      </c>
      <c r="D51" s="5">
        <v>59996</v>
      </c>
      <c r="E51" s="5">
        <v>64557</v>
      </c>
      <c r="F51" s="5"/>
      <c r="G51" s="5">
        <v>149980</v>
      </c>
      <c r="H51" s="5">
        <v>131963</v>
      </c>
      <c r="I51" s="5">
        <v>47816</v>
      </c>
      <c r="J51" s="5"/>
      <c r="K51" s="5">
        <v>109650</v>
      </c>
      <c r="L51" s="5">
        <v>287980</v>
      </c>
      <c r="M51" s="5">
        <v>77909</v>
      </c>
      <c r="N51" s="5"/>
      <c r="O51" s="5">
        <v>146201</v>
      </c>
      <c r="P51" s="5">
        <f>18257+28753</f>
        <v>47010</v>
      </c>
      <c r="Q51" s="5">
        <v>53899</v>
      </c>
    </row>
    <row r="52" spans="1:19" x14ac:dyDescent="0.25">
      <c r="C52" s="5">
        <v>101139</v>
      </c>
      <c r="D52" s="5">
        <v>91553</v>
      </c>
      <c r="E52" s="5">
        <v>111750</v>
      </c>
      <c r="F52" s="5"/>
      <c r="G52" s="5">
        <v>78425</v>
      </c>
      <c r="H52" s="5">
        <v>86415</v>
      </c>
      <c r="I52" s="5">
        <v>35053</v>
      </c>
      <c r="J52" s="5"/>
      <c r="K52" s="5">
        <v>82944</v>
      </c>
      <c r="L52" s="5"/>
      <c r="M52" s="5">
        <v>93689</v>
      </c>
      <c r="N52" s="5"/>
      <c r="O52" s="5">
        <v>74008</v>
      </c>
      <c r="P52" s="5">
        <f>34405+53018</f>
        <v>87423</v>
      </c>
      <c r="Q52" s="5">
        <v>80969</v>
      </c>
    </row>
    <row r="53" spans="1:19" x14ac:dyDescent="0.25">
      <c r="C53" s="5">
        <v>97279</v>
      </c>
      <c r="D53" s="5">
        <v>83603</v>
      </c>
      <c r="E53" s="5">
        <v>85081</v>
      </c>
      <c r="F53" s="5"/>
      <c r="G53" s="5"/>
      <c r="H53" s="5"/>
      <c r="I53" s="5">
        <v>33704</v>
      </c>
      <c r="J53" s="5"/>
      <c r="K53" s="5">
        <v>95475</v>
      </c>
      <c r="L53" s="5"/>
      <c r="M53" s="5">
        <v>83684</v>
      </c>
      <c r="N53" s="5"/>
      <c r="O53" s="5"/>
      <c r="P53" s="5">
        <f>24938+44022</f>
        <v>68960</v>
      </c>
      <c r="Q53" s="5">
        <v>86270</v>
      </c>
    </row>
    <row r="54" spans="1:19" x14ac:dyDescent="0.25">
      <c r="I54" s="5">
        <v>45138</v>
      </c>
    </row>
    <row r="55" spans="1:19" x14ac:dyDescent="0.25">
      <c r="I55" s="5">
        <v>78522</v>
      </c>
    </row>
  </sheetData>
  <pageMargins left="0.27559055118110237" right="0.27559055118110237" top="0.41" bottom="0.53" header="0.19" footer="0.24"/>
  <pageSetup paperSize="9" scale="7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14E91-DE65-4D78-A02C-2A79633E4C35}">
  <sheetPr>
    <pageSetUpPr fitToPage="1"/>
  </sheetPr>
  <dimension ref="A1:U57"/>
  <sheetViews>
    <sheetView workbookViewId="0">
      <selection activeCell="T27" sqref="T27"/>
    </sheetView>
  </sheetViews>
  <sheetFormatPr baseColWidth="10" defaultRowHeight="15" x14ac:dyDescent="0.25"/>
  <cols>
    <col min="1" max="1" width="15.7109375" customWidth="1"/>
    <col min="2" max="2" width="5" bestFit="1" customWidth="1"/>
    <col min="3" max="9" width="10.140625" bestFit="1" customWidth="1"/>
    <col min="10" max="10" width="11.7109375" bestFit="1" customWidth="1"/>
    <col min="11" max="13" width="10.140625" bestFit="1" customWidth="1"/>
    <col min="14" max="14" width="11.7109375" bestFit="1" customWidth="1"/>
    <col min="15" max="17" width="10.140625" bestFit="1" customWidth="1"/>
    <col min="18" max="19" width="11.7109375" bestFit="1" customWidth="1"/>
  </cols>
  <sheetData>
    <row r="1" spans="1:20" ht="18.75" x14ac:dyDescent="0.3">
      <c r="A1" s="3" t="s">
        <v>5</v>
      </c>
      <c r="B1" s="3"/>
    </row>
    <row r="2" spans="1:20" ht="27" thickBot="1" x14ac:dyDescent="0.45">
      <c r="A2" s="32">
        <v>2021</v>
      </c>
      <c r="B2" s="4"/>
    </row>
    <row r="3" spans="1:20" ht="15.75" thickBot="1" x14ac:dyDescent="0.3">
      <c r="C3" s="17">
        <v>44197</v>
      </c>
      <c r="D3" s="17">
        <v>44228</v>
      </c>
      <c r="E3" s="17">
        <v>44256</v>
      </c>
      <c r="F3" s="20" t="s">
        <v>0</v>
      </c>
      <c r="G3" s="19">
        <v>44287</v>
      </c>
      <c r="H3" s="19">
        <v>44317</v>
      </c>
      <c r="I3" s="19">
        <v>44348</v>
      </c>
      <c r="J3" s="20" t="s">
        <v>2</v>
      </c>
      <c r="K3" s="19">
        <v>44378</v>
      </c>
      <c r="L3" s="19">
        <v>44409</v>
      </c>
      <c r="M3" s="19">
        <v>44440</v>
      </c>
      <c r="N3" s="20" t="s">
        <v>3</v>
      </c>
      <c r="O3" s="19">
        <v>44470</v>
      </c>
      <c r="P3" s="19">
        <v>44501</v>
      </c>
      <c r="Q3" s="19">
        <v>44531</v>
      </c>
      <c r="R3" s="20" t="s">
        <v>4</v>
      </c>
      <c r="S3" s="21" t="s">
        <v>7</v>
      </c>
    </row>
    <row r="4" spans="1:20" ht="15.75" thickBot="1" x14ac:dyDescent="0.3"/>
    <row r="5" spans="1:20" ht="15.75" thickBot="1" x14ac:dyDescent="0.3">
      <c r="A5" t="s">
        <v>9</v>
      </c>
      <c r="C5" s="6">
        <v>13</v>
      </c>
      <c r="D5" s="6">
        <v>12</v>
      </c>
      <c r="E5" s="7">
        <v>12</v>
      </c>
      <c r="F5" s="9">
        <f>SUM(C5:E5)</f>
        <v>37</v>
      </c>
      <c r="G5" s="8">
        <v>11</v>
      </c>
      <c r="H5" s="6">
        <v>12</v>
      </c>
      <c r="I5" s="7">
        <v>12</v>
      </c>
      <c r="J5" s="9">
        <f>SUM(G5:I5)</f>
        <v>35</v>
      </c>
      <c r="K5" s="8">
        <v>12</v>
      </c>
      <c r="L5" s="6">
        <v>12</v>
      </c>
      <c r="M5" s="7">
        <v>12</v>
      </c>
      <c r="N5" s="9">
        <f>SUM(K5:M5)</f>
        <v>36</v>
      </c>
      <c r="O5" s="7">
        <v>13</v>
      </c>
      <c r="P5" s="6">
        <v>12</v>
      </c>
      <c r="Q5" s="7">
        <v>14</v>
      </c>
      <c r="R5" s="9">
        <f>SUM(O5:Q5)</f>
        <v>39</v>
      </c>
      <c r="S5" s="9">
        <f>F5+J5+N5+R5</f>
        <v>147</v>
      </c>
    </row>
    <row r="6" spans="1:20" ht="15.75" thickBot="1" x14ac:dyDescent="0.3">
      <c r="A6" t="s">
        <v>17</v>
      </c>
      <c r="C6" s="13">
        <v>303382</v>
      </c>
      <c r="D6" s="13">
        <v>294874</v>
      </c>
      <c r="E6" s="13">
        <v>328109</v>
      </c>
      <c r="F6" s="15">
        <f>SUM(C6:E6)</f>
        <v>926365</v>
      </c>
      <c r="G6" s="13">
        <v>354459</v>
      </c>
      <c r="H6" s="13">
        <v>334527</v>
      </c>
      <c r="I6" s="13">
        <v>368828</v>
      </c>
      <c r="J6" s="15">
        <f>SUM(G6:I6)</f>
        <v>1057814</v>
      </c>
      <c r="K6" s="13">
        <v>365043</v>
      </c>
      <c r="L6" s="13">
        <v>378754</v>
      </c>
      <c r="M6" s="13">
        <v>331946</v>
      </c>
      <c r="N6" s="15">
        <f>SUM(K6:M6)</f>
        <v>1075743</v>
      </c>
      <c r="O6" s="13">
        <v>347813</v>
      </c>
      <c r="P6" s="13">
        <v>301569</v>
      </c>
      <c r="Q6" s="13">
        <v>369271</v>
      </c>
      <c r="R6" s="15">
        <f>SUM(O6:Q6)</f>
        <v>1018653</v>
      </c>
      <c r="S6" s="15">
        <f>F6+J6+N6+R6</f>
        <v>4078575</v>
      </c>
      <c r="T6" t="s">
        <v>22</v>
      </c>
    </row>
    <row r="8" spans="1:20" x14ac:dyDescent="0.25">
      <c r="A8" s="22" t="s">
        <v>11</v>
      </c>
      <c r="B8" s="22"/>
    </row>
    <row r="9" spans="1:20" ht="15.75" thickBot="1" x14ac:dyDescent="0.3"/>
    <row r="10" spans="1:20" ht="15.75" thickBot="1" x14ac:dyDescent="0.3">
      <c r="A10" t="s">
        <v>6</v>
      </c>
      <c r="C10" s="1">
        <v>681767</v>
      </c>
      <c r="D10" s="1">
        <f>500000+122948</f>
        <v>622948</v>
      </c>
      <c r="E10" s="10">
        <v>611865</v>
      </c>
      <c r="F10" s="12">
        <f>SUM(C10:E10)</f>
        <v>1916580</v>
      </c>
      <c r="G10" s="11">
        <v>567142</v>
      </c>
      <c r="H10" s="1">
        <v>537955</v>
      </c>
      <c r="I10" s="10">
        <v>522072</v>
      </c>
      <c r="J10" s="12">
        <f>SUM(G10:I10)</f>
        <v>1627169</v>
      </c>
      <c r="K10" s="11">
        <v>507598</v>
      </c>
      <c r="L10" s="1">
        <v>457431</v>
      </c>
      <c r="M10" s="10">
        <v>457966</v>
      </c>
      <c r="N10" s="12">
        <f>SUM(K10:M10)</f>
        <v>1422995</v>
      </c>
      <c r="O10" s="10">
        <v>509672</v>
      </c>
      <c r="P10" s="1">
        <v>548476</v>
      </c>
      <c r="Q10" s="10">
        <v>582328</v>
      </c>
      <c r="R10" s="12">
        <f>SUM(O10:Q10)</f>
        <v>1640476</v>
      </c>
      <c r="S10" s="12">
        <f>F10+J10+N10+R10</f>
        <v>6607220</v>
      </c>
    </row>
    <row r="11" spans="1:20" ht="15.75" thickBot="1" x14ac:dyDescent="0.3">
      <c r="A11" t="s">
        <v>15</v>
      </c>
      <c r="C11" s="13">
        <v>14032.08</v>
      </c>
      <c r="D11" s="13">
        <v>12468.95</v>
      </c>
      <c r="E11" s="14">
        <v>12781.39</v>
      </c>
      <c r="F11" s="15">
        <f>SUM(C11:E11)</f>
        <v>39282.42</v>
      </c>
      <c r="G11" s="16">
        <v>13862.87</v>
      </c>
      <c r="H11" s="13">
        <v>13187.72</v>
      </c>
      <c r="I11" s="14">
        <v>12884.78</v>
      </c>
      <c r="J11" s="15">
        <f>SUM(G11:I11)</f>
        <v>39935.370000000003</v>
      </c>
      <c r="K11" s="16">
        <v>14167.04</v>
      </c>
      <c r="L11" s="13">
        <v>13056.19</v>
      </c>
      <c r="M11" s="14">
        <v>13068.04</v>
      </c>
      <c r="N11" s="15">
        <f>SUM(K11:M11)</f>
        <v>40291.270000000004</v>
      </c>
      <c r="O11" s="14">
        <v>16156.38</v>
      </c>
      <c r="P11" s="13">
        <v>16918.22</v>
      </c>
      <c r="Q11" s="14">
        <v>17843.740000000002</v>
      </c>
      <c r="R11" s="15">
        <f>SUM(O11:Q11)</f>
        <v>50918.34</v>
      </c>
      <c r="S11" s="15">
        <f>F11+J11+N11+R11</f>
        <v>170427.40000000002</v>
      </c>
    </row>
    <row r="12" spans="1:20" ht="15.75" thickBot="1" x14ac:dyDescent="0.3">
      <c r="A12" t="s">
        <v>23</v>
      </c>
      <c r="C12" s="13">
        <f>+C11/C10</f>
        <v>2.0581929016804862E-2</v>
      </c>
      <c r="D12" s="13">
        <f t="shared" ref="D12:S12" si="0">+D11/D10</f>
        <v>2.0016036651534317E-2</v>
      </c>
      <c r="E12" s="13">
        <f t="shared" si="0"/>
        <v>2.0889232101852531E-2</v>
      </c>
      <c r="F12" s="15">
        <f t="shared" si="0"/>
        <v>2.0496102432457815E-2</v>
      </c>
      <c r="G12" s="13">
        <f t="shared" si="0"/>
        <v>2.4443384549195795E-2</v>
      </c>
      <c r="H12" s="13">
        <f t="shared" si="0"/>
        <v>2.4514541179094903E-2</v>
      </c>
      <c r="I12" s="13">
        <f t="shared" si="0"/>
        <v>2.4680082440736145E-2</v>
      </c>
      <c r="J12" s="15">
        <f t="shared" si="0"/>
        <v>2.4542853262322476E-2</v>
      </c>
      <c r="K12" s="13">
        <f t="shared" si="0"/>
        <v>2.79099602441302E-2</v>
      </c>
      <c r="L12" s="13">
        <f t="shared" si="0"/>
        <v>2.854242497775621E-2</v>
      </c>
      <c r="M12" s="13">
        <f t="shared" si="0"/>
        <v>2.8534956743513713E-2</v>
      </c>
      <c r="N12" s="15">
        <f t="shared" si="0"/>
        <v>2.8314414316283617E-2</v>
      </c>
      <c r="O12" s="13">
        <f t="shared" si="0"/>
        <v>3.1699563640929851E-2</v>
      </c>
      <c r="P12" s="13">
        <f t="shared" si="0"/>
        <v>3.0845871104660916E-2</v>
      </c>
      <c r="Q12" s="13">
        <f t="shared" si="0"/>
        <v>3.0642078004148868E-2</v>
      </c>
      <c r="R12" s="15">
        <f t="shared" si="0"/>
        <v>3.1038759482004002E-2</v>
      </c>
      <c r="S12" s="15">
        <f t="shared" si="0"/>
        <v>2.5794116133562986E-2</v>
      </c>
    </row>
    <row r="13" spans="1:20" ht="15.75" thickBot="1" x14ac:dyDescent="0.3"/>
    <row r="14" spans="1:20" ht="15.75" thickBot="1" x14ac:dyDescent="0.3">
      <c r="A14" t="s">
        <v>14</v>
      </c>
      <c r="B14" t="s">
        <v>6</v>
      </c>
      <c r="C14" s="1">
        <f t="shared" ref="C14:S14" si="1">+C10/C5</f>
        <v>52443.615384615383</v>
      </c>
      <c r="D14" s="1">
        <f t="shared" si="1"/>
        <v>51912.333333333336</v>
      </c>
      <c r="E14" s="1">
        <f t="shared" si="1"/>
        <v>50988.75</v>
      </c>
      <c r="F14" s="12">
        <f t="shared" si="1"/>
        <v>51799.45945945946</v>
      </c>
      <c r="G14" s="1">
        <f t="shared" si="1"/>
        <v>51558.36363636364</v>
      </c>
      <c r="H14" s="1">
        <f t="shared" si="1"/>
        <v>44829.583333333336</v>
      </c>
      <c r="I14" s="1">
        <f t="shared" si="1"/>
        <v>43506</v>
      </c>
      <c r="J14" s="12">
        <f t="shared" si="1"/>
        <v>46490.542857142857</v>
      </c>
      <c r="K14" s="1">
        <f t="shared" si="1"/>
        <v>42299.833333333336</v>
      </c>
      <c r="L14" s="1">
        <f t="shared" si="1"/>
        <v>38119.25</v>
      </c>
      <c r="M14" s="1">
        <f t="shared" si="1"/>
        <v>38163.833333333336</v>
      </c>
      <c r="N14" s="12">
        <f t="shared" si="1"/>
        <v>39527.638888888891</v>
      </c>
      <c r="O14" s="1">
        <f t="shared" si="1"/>
        <v>39205.538461538461</v>
      </c>
      <c r="P14" s="1">
        <f t="shared" si="1"/>
        <v>45706.333333333336</v>
      </c>
      <c r="Q14" s="1">
        <f t="shared" si="1"/>
        <v>41594.857142857145</v>
      </c>
      <c r="R14" s="12">
        <f t="shared" si="1"/>
        <v>42063.48717948718</v>
      </c>
      <c r="S14" s="12">
        <f t="shared" si="1"/>
        <v>44947.074829931975</v>
      </c>
    </row>
    <row r="15" spans="1:20" ht="15.75" thickBot="1" x14ac:dyDescent="0.3">
      <c r="A15" t="s">
        <v>14</v>
      </c>
      <c r="B15" t="s">
        <v>10</v>
      </c>
      <c r="C15" s="13">
        <f t="shared" ref="C15:S15" si="2">+C11/C5</f>
        <v>1079.3907692307691</v>
      </c>
      <c r="D15" s="13">
        <f t="shared" si="2"/>
        <v>1039.0791666666667</v>
      </c>
      <c r="E15" s="13">
        <f t="shared" si="2"/>
        <v>1065.1158333333333</v>
      </c>
      <c r="F15" s="15">
        <f t="shared" si="2"/>
        <v>1061.6870270270269</v>
      </c>
      <c r="G15" s="13">
        <f t="shared" si="2"/>
        <v>1260.2609090909091</v>
      </c>
      <c r="H15" s="13">
        <f t="shared" si="2"/>
        <v>1098.9766666666667</v>
      </c>
      <c r="I15" s="13">
        <f t="shared" si="2"/>
        <v>1073.7316666666668</v>
      </c>
      <c r="J15" s="15">
        <f t="shared" si="2"/>
        <v>1141.0105714285714</v>
      </c>
      <c r="K15" s="13">
        <f t="shared" si="2"/>
        <v>1180.5866666666668</v>
      </c>
      <c r="L15" s="13">
        <f t="shared" si="2"/>
        <v>1088.0158333333334</v>
      </c>
      <c r="M15" s="13">
        <f t="shared" si="2"/>
        <v>1089.0033333333333</v>
      </c>
      <c r="N15" s="15">
        <f t="shared" si="2"/>
        <v>1119.2019444444445</v>
      </c>
      <c r="O15" s="13">
        <f t="shared" si="2"/>
        <v>1242.7984615384614</v>
      </c>
      <c r="P15" s="13">
        <f t="shared" si="2"/>
        <v>1409.8516666666667</v>
      </c>
      <c r="Q15" s="13">
        <f t="shared" si="2"/>
        <v>1274.5528571428572</v>
      </c>
      <c r="R15" s="15">
        <f t="shared" si="2"/>
        <v>1305.5984615384614</v>
      </c>
      <c r="S15" s="15">
        <f t="shared" si="2"/>
        <v>1159.3700680272111</v>
      </c>
    </row>
    <row r="16" spans="1:20" ht="15.75" thickBot="1" x14ac:dyDescent="0.3">
      <c r="A16" t="s">
        <v>20</v>
      </c>
      <c r="B16" t="s">
        <v>6</v>
      </c>
      <c r="C16" s="30">
        <f>+C10/C6</f>
        <v>2.2472229730175157</v>
      </c>
      <c r="D16" s="30">
        <f t="shared" ref="D16:R16" si="3">+D10/D6</f>
        <v>2.1125904623669771</v>
      </c>
      <c r="E16" s="30">
        <f t="shared" si="3"/>
        <v>1.8648223608617869</v>
      </c>
      <c r="F16" s="31">
        <f t="shared" si="3"/>
        <v>2.0689253156153353</v>
      </c>
      <c r="G16" s="30">
        <f t="shared" si="3"/>
        <v>1.600021441125772</v>
      </c>
      <c r="H16" s="30">
        <f t="shared" si="3"/>
        <v>1.6081063710851442</v>
      </c>
      <c r="I16" s="30">
        <f t="shared" si="3"/>
        <v>1.4154890626525101</v>
      </c>
      <c r="J16" s="31">
        <f t="shared" si="3"/>
        <v>1.5382373460740735</v>
      </c>
      <c r="K16" s="30">
        <f t="shared" si="3"/>
        <v>1.3905156378837562</v>
      </c>
      <c r="L16" s="30">
        <f t="shared" si="3"/>
        <v>1.2077258590008291</v>
      </c>
      <c r="M16" s="30">
        <f t="shared" si="3"/>
        <v>1.3796400619377851</v>
      </c>
      <c r="N16" s="31">
        <f t="shared" si="3"/>
        <v>1.3228020075426938</v>
      </c>
      <c r="O16" s="30">
        <f t="shared" si="3"/>
        <v>1.4653621342503012</v>
      </c>
      <c r="P16" s="30">
        <f t="shared" si="3"/>
        <v>1.8187413162493493</v>
      </c>
      <c r="Q16" s="30">
        <f t="shared" si="3"/>
        <v>1.5769665096907151</v>
      </c>
      <c r="R16" s="31">
        <f t="shared" si="3"/>
        <v>1.6104365274534116</v>
      </c>
      <c r="S16" s="31">
        <f>+S10/S6</f>
        <v>1.6199824693673648</v>
      </c>
    </row>
    <row r="17" spans="1:20" ht="15.75" thickBot="1" x14ac:dyDescent="0.3">
      <c r="A17" t="s">
        <v>19</v>
      </c>
      <c r="B17" t="s">
        <v>10</v>
      </c>
      <c r="C17" s="25">
        <f t="shared" ref="C17:S17" si="4">+C11/C6</f>
        <v>4.6252183715579695E-2</v>
      </c>
      <c r="D17" s="25">
        <f t="shared" si="4"/>
        <v>4.2285688124419248E-2</v>
      </c>
      <c r="E17" s="25">
        <f t="shared" si="4"/>
        <v>3.8954707124766466E-2</v>
      </c>
      <c r="F17" s="26">
        <f t="shared" si="4"/>
        <v>4.2404905193957024E-2</v>
      </c>
      <c r="G17" s="25">
        <f t="shared" si="4"/>
        <v>3.910993937239568E-2</v>
      </c>
      <c r="H17" s="25">
        <f t="shared" si="4"/>
        <v>3.9421989854331638E-2</v>
      </c>
      <c r="I17" s="25">
        <f t="shared" si="4"/>
        <v>3.4934386760224277E-2</v>
      </c>
      <c r="J17" s="26">
        <f t="shared" si="4"/>
        <v>3.7752733467320346E-2</v>
      </c>
      <c r="K17" s="25">
        <f t="shared" si="4"/>
        <v>3.8809236172176978E-2</v>
      </c>
      <c r="L17" s="25">
        <f t="shared" si="4"/>
        <v>3.4471424724227338E-2</v>
      </c>
      <c r="M17" s="25">
        <f t="shared" si="4"/>
        <v>3.9367969489013277E-2</v>
      </c>
      <c r="N17" s="26">
        <f t="shared" si="4"/>
        <v>3.7454364099975553E-2</v>
      </c>
      <c r="O17" s="25">
        <f t="shared" si="4"/>
        <v>4.6451340231676214E-2</v>
      </c>
      <c r="P17" s="25">
        <f t="shared" si="4"/>
        <v>5.6100660213748765E-2</v>
      </c>
      <c r="Q17" s="25">
        <f t="shared" si="4"/>
        <v>4.8321530799873266E-2</v>
      </c>
      <c r="R17" s="26">
        <f t="shared" si="4"/>
        <v>4.9985952036660175E-2</v>
      </c>
      <c r="S17" s="26">
        <f t="shared" si="4"/>
        <v>4.1786015949197945E-2</v>
      </c>
    </row>
    <row r="19" spans="1:20" x14ac:dyDescent="0.25">
      <c r="A19" s="22" t="s">
        <v>12</v>
      </c>
      <c r="B19" s="22"/>
    </row>
    <row r="20" spans="1:20" ht="15.75" thickBot="1" x14ac:dyDescent="0.3"/>
    <row r="21" spans="1:20" ht="15.75" thickBot="1" x14ac:dyDescent="0.3">
      <c r="A21" t="s">
        <v>1</v>
      </c>
      <c r="C21" s="45"/>
      <c r="D21" s="45"/>
      <c r="E21" s="46"/>
      <c r="F21" s="12">
        <v>28511</v>
      </c>
      <c r="G21" s="51"/>
      <c r="H21" s="45"/>
      <c r="I21" s="46"/>
      <c r="J21" s="12">
        <v>30045</v>
      </c>
      <c r="K21" s="51"/>
      <c r="L21" s="45"/>
      <c r="M21" s="46"/>
      <c r="N21" s="12">
        <v>29508</v>
      </c>
      <c r="O21" s="46"/>
      <c r="P21" s="45"/>
      <c r="Q21" s="46"/>
      <c r="R21" s="12">
        <v>24124</v>
      </c>
      <c r="S21" s="12">
        <f>F21+J21+N21+R21</f>
        <v>112188</v>
      </c>
    </row>
    <row r="22" spans="1:20" ht="15.75" thickBot="1" x14ac:dyDescent="0.3">
      <c r="A22" t="s">
        <v>15</v>
      </c>
      <c r="C22" s="47"/>
      <c r="D22" s="47"/>
      <c r="E22" s="48"/>
      <c r="F22" s="15">
        <v>44285.16</v>
      </c>
      <c r="G22" s="52"/>
      <c r="H22" s="47"/>
      <c r="I22" s="48"/>
      <c r="J22" s="15">
        <v>46678.2</v>
      </c>
      <c r="K22" s="52"/>
      <c r="L22" s="47"/>
      <c r="M22" s="48"/>
      <c r="N22" s="15">
        <v>72580.95</v>
      </c>
      <c r="O22" s="48"/>
      <c r="P22" s="47"/>
      <c r="Q22" s="48"/>
      <c r="R22" s="15">
        <v>59282.47</v>
      </c>
      <c r="S22" s="15">
        <f>F22+J22+N22+R22</f>
        <v>222826.78</v>
      </c>
    </row>
    <row r="23" spans="1:20" x14ac:dyDescent="0.25">
      <c r="C23" s="49"/>
      <c r="D23" s="49"/>
      <c r="E23" s="49"/>
      <c r="F23" s="28"/>
      <c r="G23" s="49"/>
      <c r="H23" s="49"/>
      <c r="I23" s="49"/>
      <c r="J23" s="28"/>
      <c r="K23" s="49"/>
      <c r="L23" s="49"/>
      <c r="M23" s="49"/>
      <c r="N23" s="28"/>
      <c r="O23" s="49"/>
      <c r="P23" s="49"/>
      <c r="Q23" s="49"/>
      <c r="R23" s="28"/>
      <c r="S23" s="28"/>
    </row>
    <row r="24" spans="1:20" ht="15.75" thickBot="1" x14ac:dyDescent="0.3">
      <c r="C24" s="54"/>
      <c r="D24" s="54"/>
      <c r="E24" s="54"/>
      <c r="G24" s="54"/>
      <c r="H24" s="54"/>
      <c r="I24" s="54"/>
      <c r="K24" s="54"/>
      <c r="L24" s="54"/>
      <c r="M24" s="54"/>
      <c r="O24" s="54"/>
      <c r="P24" s="54"/>
      <c r="Q24" s="54"/>
    </row>
    <row r="25" spans="1:20" ht="15.75" thickBot="1" x14ac:dyDescent="0.3">
      <c r="A25" t="s">
        <v>14</v>
      </c>
      <c r="B25" t="s">
        <v>1</v>
      </c>
      <c r="C25" s="45">
        <f t="shared" ref="C25:S25" si="5">+C21/C5</f>
        <v>0</v>
      </c>
      <c r="D25" s="45">
        <f t="shared" si="5"/>
        <v>0</v>
      </c>
      <c r="E25" s="46"/>
      <c r="F25" s="15">
        <f t="shared" si="5"/>
        <v>770.56756756756761</v>
      </c>
      <c r="G25" s="51"/>
      <c r="H25" s="45"/>
      <c r="I25" s="46"/>
      <c r="J25" s="15">
        <f t="shared" ref="J25" si="6">+J21/J5</f>
        <v>858.42857142857144</v>
      </c>
      <c r="K25" s="51"/>
      <c r="L25" s="45"/>
      <c r="M25" s="46"/>
      <c r="N25" s="15">
        <f t="shared" ref="N25" si="7">+N21/N5</f>
        <v>819.66666666666663</v>
      </c>
      <c r="O25" s="46"/>
      <c r="P25" s="45"/>
      <c r="Q25" s="46"/>
      <c r="R25" s="15">
        <f t="shared" ref="R25" si="8">+R21/R5</f>
        <v>618.56410256410254</v>
      </c>
      <c r="S25" s="15">
        <f t="shared" si="5"/>
        <v>763.18367346938771</v>
      </c>
    </row>
    <row r="26" spans="1:20" ht="15.75" thickBot="1" x14ac:dyDescent="0.3">
      <c r="A26" t="s">
        <v>14</v>
      </c>
      <c r="B26" t="s">
        <v>10</v>
      </c>
      <c r="C26" s="47">
        <f t="shared" ref="C26:S26" si="9">+C22/C5</f>
        <v>0</v>
      </c>
      <c r="D26" s="47">
        <f t="shared" si="9"/>
        <v>0</v>
      </c>
      <c r="E26" s="48"/>
      <c r="F26" s="15">
        <f t="shared" si="9"/>
        <v>1196.8962162162163</v>
      </c>
      <c r="G26" s="52"/>
      <c r="H26" s="47"/>
      <c r="I26" s="48"/>
      <c r="J26" s="15">
        <f t="shared" ref="J26" si="10">+J22/J5</f>
        <v>1333.6628571428571</v>
      </c>
      <c r="K26" s="52"/>
      <c r="L26" s="47"/>
      <c r="M26" s="48"/>
      <c r="N26" s="15">
        <f t="shared" ref="N26" si="11">+N22/N5</f>
        <v>2016.1374999999998</v>
      </c>
      <c r="O26" s="48"/>
      <c r="P26" s="47"/>
      <c r="Q26" s="48"/>
      <c r="R26" s="15">
        <f t="shared" ref="R26" si="12">+R22/R5</f>
        <v>1520.0633333333333</v>
      </c>
      <c r="S26" s="15">
        <f t="shared" si="9"/>
        <v>1515.8284353741496</v>
      </c>
    </row>
    <row r="27" spans="1:20" ht="15.75" thickBot="1" x14ac:dyDescent="0.3">
      <c r="A27" t="s">
        <v>21</v>
      </c>
      <c r="B27" t="s">
        <v>1</v>
      </c>
      <c r="C27" s="50">
        <f>+C21/C6</f>
        <v>0</v>
      </c>
      <c r="D27" s="50">
        <f t="shared" ref="D27:F27" si="13">+D21/D6</f>
        <v>0</v>
      </c>
      <c r="E27" s="50"/>
      <c r="F27" s="31">
        <f t="shared" si="13"/>
        <v>3.0777285411257981E-2</v>
      </c>
      <c r="G27" s="50"/>
      <c r="H27" s="50"/>
      <c r="I27" s="50"/>
      <c r="J27" s="31">
        <f t="shared" ref="J27" si="14">+J21/J6</f>
        <v>2.8402913933829578E-2</v>
      </c>
      <c r="K27" s="50"/>
      <c r="L27" s="50"/>
      <c r="M27" s="50"/>
      <c r="N27" s="31">
        <f t="shared" ref="N27" si="15">+N21/N6</f>
        <v>2.7430343492823101E-2</v>
      </c>
      <c r="O27" s="50"/>
      <c r="P27" s="50"/>
      <c r="Q27" s="50"/>
      <c r="R27" s="31">
        <f t="shared" ref="R27" si="16">+R21/R6</f>
        <v>2.3682254899362196E-2</v>
      </c>
      <c r="S27" s="31">
        <f>+S21/S6</f>
        <v>2.7506665931115646E-2</v>
      </c>
      <c r="T27">
        <f>+S27*1000</f>
        <v>27.506665931115645</v>
      </c>
    </row>
    <row r="28" spans="1:20" ht="15.75" thickBot="1" x14ac:dyDescent="0.3">
      <c r="A28" t="s">
        <v>19</v>
      </c>
      <c r="B28" t="s">
        <v>10</v>
      </c>
      <c r="C28" s="50">
        <f>+C22/C6</f>
        <v>0</v>
      </c>
      <c r="D28" s="50">
        <f t="shared" ref="D28:F28" si="17">+D22/D6</f>
        <v>0</v>
      </c>
      <c r="E28" s="50"/>
      <c r="F28" s="26">
        <f t="shared" si="17"/>
        <v>4.780530352506842E-2</v>
      </c>
      <c r="G28" s="50"/>
      <c r="H28" s="50"/>
      <c r="I28" s="50"/>
      <c r="J28" s="26">
        <f t="shared" ref="J28" si="18">+J22/J6</f>
        <v>4.4127039347182019E-2</v>
      </c>
      <c r="K28" s="50"/>
      <c r="L28" s="50"/>
      <c r="M28" s="50"/>
      <c r="N28" s="26">
        <f t="shared" ref="N28" si="19">+N22/N6</f>
        <v>6.7470529671120327E-2</v>
      </c>
      <c r="O28" s="50"/>
      <c r="P28" s="50"/>
      <c r="Q28" s="50"/>
      <c r="R28" s="26">
        <f t="shared" ref="R28" si="20">+R22/R6</f>
        <v>5.8196922799029702E-2</v>
      </c>
      <c r="S28" s="26">
        <f>+S22/S6</f>
        <v>5.4633488412006645E-2</v>
      </c>
    </row>
    <row r="31" spans="1:20" x14ac:dyDescent="0.25">
      <c r="A31" s="22" t="s">
        <v>13</v>
      </c>
      <c r="B31" s="22"/>
    </row>
    <row r="32" spans="1:20" ht="15.75" thickBot="1" x14ac:dyDescent="0.3"/>
    <row r="33" spans="1:19" ht="15.75" thickBot="1" x14ac:dyDescent="0.3">
      <c r="A33" t="s">
        <v>6</v>
      </c>
      <c r="C33" s="1">
        <f>+C50</f>
        <v>239609</v>
      </c>
      <c r="D33" s="1">
        <f>+D50</f>
        <v>235062</v>
      </c>
      <c r="E33" s="10">
        <f>+E50</f>
        <v>279609</v>
      </c>
      <c r="F33" s="12">
        <f>SUM(C33:E33)</f>
        <v>754280</v>
      </c>
      <c r="G33" s="11">
        <f>+G50</f>
        <v>273639</v>
      </c>
      <c r="H33" s="1">
        <f>+H50</f>
        <v>291191</v>
      </c>
      <c r="I33" s="10">
        <f>+I50</f>
        <v>328295</v>
      </c>
      <c r="J33" s="12">
        <f>SUM(G33:I33)</f>
        <v>893125</v>
      </c>
      <c r="K33" s="11">
        <f>+K50</f>
        <v>374427</v>
      </c>
      <c r="L33" s="1">
        <f>+L50</f>
        <v>386253</v>
      </c>
      <c r="M33" s="10">
        <f>+M50</f>
        <v>338614</v>
      </c>
      <c r="N33" s="12">
        <f>SUM(K33:M33)</f>
        <v>1099294</v>
      </c>
      <c r="O33" s="10">
        <f>+O50</f>
        <v>320385</v>
      </c>
      <c r="P33" s="1">
        <f>+P50</f>
        <v>299803</v>
      </c>
      <c r="Q33" s="10">
        <f>+Q50</f>
        <v>308608</v>
      </c>
      <c r="R33" s="12">
        <f>SUM(O33:Q33)</f>
        <v>928796</v>
      </c>
      <c r="S33" s="12">
        <f>F33+J33+N33+R33</f>
        <v>3675495</v>
      </c>
    </row>
    <row r="34" spans="1:19" ht="15.75" thickBot="1" x14ac:dyDescent="0.3">
      <c r="A34" t="s">
        <v>15</v>
      </c>
      <c r="C34" s="13">
        <v>28461.33</v>
      </c>
      <c r="D34" s="13">
        <v>28866.03</v>
      </c>
      <c r="E34" s="14">
        <v>28459.08</v>
      </c>
      <c r="F34" s="15">
        <f>SUM(C34:E34)</f>
        <v>85786.44</v>
      </c>
      <c r="G34" s="16">
        <v>26980.01</v>
      </c>
      <c r="H34" s="13">
        <v>27750.59</v>
      </c>
      <c r="I34" s="14">
        <v>31997.82</v>
      </c>
      <c r="J34" s="15">
        <f>SUM(G34:I34)</f>
        <v>86728.42</v>
      </c>
      <c r="K34" s="16">
        <v>68211.58</v>
      </c>
      <c r="L34" s="13">
        <f>33791.94+27844.82</f>
        <v>61636.76</v>
      </c>
      <c r="M34" s="14">
        <f>36750.85+29230.87</f>
        <v>65981.72</v>
      </c>
      <c r="N34" s="15">
        <f>SUM(K34:M34)</f>
        <v>195830.06</v>
      </c>
      <c r="O34" s="14">
        <v>70069.73</v>
      </c>
      <c r="P34" s="13">
        <v>76243.350000000006</v>
      </c>
      <c r="Q34" s="14">
        <v>99087.95</v>
      </c>
      <c r="R34" s="12">
        <f t="shared" ref="R34" si="21">SUM(O34:Q34)</f>
        <v>245401.03000000003</v>
      </c>
      <c r="S34" s="15">
        <f>F34+J34+N34+R34</f>
        <v>613745.94999999995</v>
      </c>
    </row>
    <row r="35" spans="1:19" ht="15.75" thickBot="1" x14ac:dyDescent="0.3">
      <c r="A35" t="s">
        <v>23</v>
      </c>
      <c r="C35" s="13">
        <f>+C34/C33</f>
        <v>0.11878239131251331</v>
      </c>
      <c r="D35" s="13">
        <f t="shared" ref="D35:R35" si="22">+D34/D33</f>
        <v>0.12280177144753299</v>
      </c>
      <c r="E35" s="13">
        <f t="shared" si="22"/>
        <v>0.10178170230571978</v>
      </c>
      <c r="F35" s="15">
        <f t="shared" si="22"/>
        <v>0.11373288434003288</v>
      </c>
      <c r="G35" s="13">
        <f t="shared" si="22"/>
        <v>9.8597093250596582E-2</v>
      </c>
      <c r="H35" s="13">
        <f t="shared" si="22"/>
        <v>9.530030117689077E-2</v>
      </c>
      <c r="I35" s="13">
        <f t="shared" si="22"/>
        <v>9.7466668697360606E-2</v>
      </c>
      <c r="J35" s="15">
        <f t="shared" si="22"/>
        <v>9.710669839048286E-2</v>
      </c>
      <c r="K35" s="13">
        <f t="shared" si="22"/>
        <v>0.18217591145937659</v>
      </c>
      <c r="L35" s="13">
        <f t="shared" si="22"/>
        <v>0.15957613274201107</v>
      </c>
      <c r="M35" s="13">
        <f t="shared" si="22"/>
        <v>0.19485821613991153</v>
      </c>
      <c r="N35" s="15">
        <f t="shared" si="22"/>
        <v>0.17814166183022923</v>
      </c>
      <c r="O35" s="13">
        <f t="shared" si="22"/>
        <v>0.21870477706509356</v>
      </c>
      <c r="P35" s="13">
        <f t="shared" si="22"/>
        <v>0.25431149788361024</v>
      </c>
      <c r="Q35" s="13">
        <f t="shared" si="22"/>
        <v>0.32108030251970138</v>
      </c>
      <c r="R35" s="15">
        <f t="shared" si="22"/>
        <v>0.26421413313580167</v>
      </c>
      <c r="S35" s="15">
        <f t="shared" ref="S35" si="23">+S34/S33</f>
        <v>0.16698320906435732</v>
      </c>
    </row>
    <row r="36" spans="1:19" ht="15.75" thickBot="1" x14ac:dyDescent="0.3"/>
    <row r="37" spans="1:19" ht="15.75" thickBot="1" x14ac:dyDescent="0.3">
      <c r="A37" t="s">
        <v>14</v>
      </c>
      <c r="B37" t="s">
        <v>6</v>
      </c>
      <c r="C37" s="1">
        <f t="shared" ref="C37:S37" si="24">+C33/C5</f>
        <v>18431.461538461539</v>
      </c>
      <c r="D37" s="1">
        <f t="shared" si="24"/>
        <v>19588.5</v>
      </c>
      <c r="E37" s="1">
        <f t="shared" si="24"/>
        <v>23300.75</v>
      </c>
      <c r="F37" s="12">
        <f t="shared" si="24"/>
        <v>20385.945945945947</v>
      </c>
      <c r="G37" s="1">
        <f t="shared" si="24"/>
        <v>24876.272727272728</v>
      </c>
      <c r="H37" s="1">
        <f t="shared" si="24"/>
        <v>24265.916666666668</v>
      </c>
      <c r="I37" s="1">
        <f t="shared" si="24"/>
        <v>27357.916666666668</v>
      </c>
      <c r="J37" s="12">
        <f t="shared" si="24"/>
        <v>25517.857142857141</v>
      </c>
      <c r="K37" s="1">
        <f t="shared" si="24"/>
        <v>31202.25</v>
      </c>
      <c r="L37" s="1">
        <f t="shared" si="24"/>
        <v>32187.75</v>
      </c>
      <c r="M37" s="1">
        <f t="shared" si="24"/>
        <v>28217.833333333332</v>
      </c>
      <c r="N37" s="12">
        <f t="shared" si="24"/>
        <v>30535.944444444445</v>
      </c>
      <c r="O37" s="1">
        <f t="shared" si="24"/>
        <v>24645</v>
      </c>
      <c r="P37" s="1">
        <f t="shared" si="24"/>
        <v>24983.583333333332</v>
      </c>
      <c r="Q37" s="1">
        <f t="shared" si="24"/>
        <v>22043.428571428572</v>
      </c>
      <c r="R37" s="12">
        <f t="shared" si="24"/>
        <v>23815.282051282051</v>
      </c>
      <c r="S37" s="12">
        <f t="shared" si="24"/>
        <v>25003.367346938776</v>
      </c>
    </row>
    <row r="38" spans="1:19" ht="15.75" thickBot="1" x14ac:dyDescent="0.3">
      <c r="A38" t="s">
        <v>14</v>
      </c>
      <c r="B38" t="s">
        <v>10</v>
      </c>
      <c r="C38" s="13">
        <f t="shared" ref="C38:S38" si="25">+C34/C5</f>
        <v>2189.333076923077</v>
      </c>
      <c r="D38" s="13">
        <f t="shared" si="25"/>
        <v>2405.5025000000001</v>
      </c>
      <c r="E38" s="13">
        <f t="shared" si="25"/>
        <v>2371.59</v>
      </c>
      <c r="F38" s="15">
        <f t="shared" si="25"/>
        <v>2318.5524324324324</v>
      </c>
      <c r="G38" s="13">
        <f t="shared" si="25"/>
        <v>2452.7281818181818</v>
      </c>
      <c r="H38" s="13">
        <f t="shared" si="25"/>
        <v>2312.5491666666667</v>
      </c>
      <c r="I38" s="13">
        <f t="shared" si="25"/>
        <v>2666.4850000000001</v>
      </c>
      <c r="J38" s="15">
        <f t="shared" si="25"/>
        <v>2477.9548571428572</v>
      </c>
      <c r="K38" s="13">
        <f t="shared" si="25"/>
        <v>5684.2983333333332</v>
      </c>
      <c r="L38" s="13">
        <f t="shared" si="25"/>
        <v>5136.3966666666665</v>
      </c>
      <c r="M38" s="13">
        <f t="shared" si="25"/>
        <v>5498.4766666666665</v>
      </c>
      <c r="N38" s="15">
        <f t="shared" si="25"/>
        <v>5439.7238888888887</v>
      </c>
      <c r="O38" s="13">
        <f t="shared" si="25"/>
        <v>5389.9792307692305</v>
      </c>
      <c r="P38" s="13">
        <f t="shared" si="25"/>
        <v>6353.6125000000002</v>
      </c>
      <c r="Q38" s="13">
        <f t="shared" si="25"/>
        <v>7077.7107142857139</v>
      </c>
      <c r="R38" s="15">
        <f t="shared" si="25"/>
        <v>6292.334102564103</v>
      </c>
      <c r="S38" s="15">
        <f t="shared" si="25"/>
        <v>4175.1425170068023</v>
      </c>
    </row>
    <row r="39" spans="1:19" ht="15.75" thickBot="1" x14ac:dyDescent="0.3">
      <c r="A39" t="s">
        <v>20</v>
      </c>
      <c r="B39" t="s">
        <v>6</v>
      </c>
      <c r="C39" s="30">
        <f>+C33/C6</f>
        <v>0.78979306616740608</v>
      </c>
      <c r="D39" s="30">
        <f t="shared" ref="D39:R39" si="26">+D33/D6</f>
        <v>0.79716082123211951</v>
      </c>
      <c r="E39" s="30">
        <f t="shared" si="26"/>
        <v>0.85218326836508596</v>
      </c>
      <c r="F39" s="31">
        <f t="shared" si="26"/>
        <v>0.81423628915168422</v>
      </c>
      <c r="G39" s="30">
        <f t="shared" si="26"/>
        <v>0.77199055461985733</v>
      </c>
      <c r="H39" s="30">
        <f t="shared" si="26"/>
        <v>0.87045589743129848</v>
      </c>
      <c r="I39" s="30">
        <f t="shared" si="26"/>
        <v>0.89010324595746526</v>
      </c>
      <c r="J39" s="31">
        <f t="shared" si="26"/>
        <v>0.84431194898157902</v>
      </c>
      <c r="K39" s="30">
        <f t="shared" si="26"/>
        <v>1.0257065605969709</v>
      </c>
      <c r="L39" s="30">
        <f t="shared" si="26"/>
        <v>1.0197991308342618</v>
      </c>
      <c r="M39" s="30">
        <f t="shared" si="26"/>
        <v>1.0200876046103884</v>
      </c>
      <c r="N39" s="31">
        <f t="shared" si="26"/>
        <v>1.0218927755049301</v>
      </c>
      <c r="O39" s="30">
        <f t="shared" si="26"/>
        <v>0.9211415329501772</v>
      </c>
      <c r="P39" s="30">
        <f t="shared" si="26"/>
        <v>0.99414396042033493</v>
      </c>
      <c r="Q39" s="30">
        <f t="shared" si="26"/>
        <v>0.83572227442718217</v>
      </c>
      <c r="R39" s="31">
        <f t="shared" si="26"/>
        <v>0.91178841077383566</v>
      </c>
      <c r="S39" s="31">
        <f>+S33/S6</f>
        <v>0.90117136499880468</v>
      </c>
    </row>
    <row r="40" spans="1:19" ht="15.75" thickBot="1" x14ac:dyDescent="0.3">
      <c r="A40" t="s">
        <v>19</v>
      </c>
      <c r="B40" t="s">
        <v>10</v>
      </c>
      <c r="C40" s="25">
        <f>+C34/C6</f>
        <v>9.3813509041406548E-2</v>
      </c>
      <c r="D40" s="25">
        <f t="shared" ref="D40:R40" si="27">+D34/D6</f>
        <v>9.7892760975874432E-2</v>
      </c>
      <c r="E40" s="25">
        <f t="shared" si="27"/>
        <v>8.673666373065049E-2</v>
      </c>
      <c r="F40" s="26">
        <f t="shared" si="27"/>
        <v>9.2605441699546084E-2</v>
      </c>
      <c r="G40" s="25">
        <f t="shared" si="27"/>
        <v>7.6116024702433852E-2</v>
      </c>
      <c r="H40" s="25">
        <f t="shared" si="27"/>
        <v>8.2954709186403491E-2</v>
      </c>
      <c r="I40" s="25">
        <f t="shared" si="27"/>
        <v>8.6755398180181548E-2</v>
      </c>
      <c r="J40" s="26">
        <f t="shared" si="27"/>
        <v>8.1988345777234933E-2</v>
      </c>
      <c r="K40" s="25">
        <f t="shared" si="27"/>
        <v>0.18685902756661543</v>
      </c>
      <c r="L40" s="25">
        <f t="shared" si="27"/>
        <v>0.16273560147219568</v>
      </c>
      <c r="M40" s="25">
        <f t="shared" si="27"/>
        <v>0.19877245094081566</v>
      </c>
      <c r="N40" s="26">
        <f t="shared" si="27"/>
        <v>0.1820416772407536</v>
      </c>
      <c r="O40" s="25">
        <f t="shared" si="27"/>
        <v>0.20145805360926702</v>
      </c>
      <c r="P40" s="25">
        <f t="shared" si="27"/>
        <v>0.25282223968643996</v>
      </c>
      <c r="Q40" s="25">
        <f t="shared" si="27"/>
        <v>0.26833396069553256</v>
      </c>
      <c r="R40" s="26">
        <f t="shared" si="27"/>
        <v>0.24090738455587921</v>
      </c>
      <c r="S40" s="26">
        <f>+S34/S6</f>
        <v>0.15048048644440765</v>
      </c>
    </row>
    <row r="42" spans="1:19" x14ac:dyDescent="0.25">
      <c r="A42" s="22" t="s">
        <v>16</v>
      </c>
    </row>
    <row r="43" spans="1:19" ht="15.75" thickBot="1" x14ac:dyDescent="0.3"/>
    <row r="44" spans="1:19" ht="15.75" thickBot="1" x14ac:dyDescent="0.3">
      <c r="A44" t="s">
        <v>14</v>
      </c>
      <c r="B44" t="s">
        <v>10</v>
      </c>
      <c r="C44" s="1">
        <f>IF(+C5&gt;0,+(C15+C26+C38),"")</f>
        <v>3268.7238461538464</v>
      </c>
      <c r="D44" s="13">
        <f t="shared" ref="D44:S44" si="28">IF(+D5&gt;0,+(D15+D26+D38),"")</f>
        <v>3444.5816666666669</v>
      </c>
      <c r="E44" s="13">
        <f t="shared" si="28"/>
        <v>3436.7058333333334</v>
      </c>
      <c r="F44" s="15">
        <f t="shared" si="28"/>
        <v>4577.1356756756759</v>
      </c>
      <c r="G44" s="13">
        <f t="shared" si="28"/>
        <v>3712.9890909090909</v>
      </c>
      <c r="H44" s="13">
        <f t="shared" si="28"/>
        <v>3411.5258333333331</v>
      </c>
      <c r="I44" s="13">
        <f t="shared" si="28"/>
        <v>3740.2166666666672</v>
      </c>
      <c r="J44" s="15">
        <f t="shared" si="28"/>
        <v>4952.6282857142851</v>
      </c>
      <c r="K44" s="13">
        <f t="shared" si="28"/>
        <v>6864.8850000000002</v>
      </c>
      <c r="L44" s="13">
        <f t="shared" si="28"/>
        <v>6224.4125000000004</v>
      </c>
      <c r="M44" s="13">
        <f t="shared" si="28"/>
        <v>6587.48</v>
      </c>
      <c r="N44" s="15">
        <f t="shared" si="28"/>
        <v>8575.0633333333335</v>
      </c>
      <c r="O44" s="13">
        <f t="shared" si="28"/>
        <v>6632.7776923076917</v>
      </c>
      <c r="P44" s="13">
        <f t="shared" si="28"/>
        <v>7763.4641666666666</v>
      </c>
      <c r="Q44" s="13">
        <f t="shared" si="28"/>
        <v>8352.2635714285716</v>
      </c>
      <c r="R44" s="15">
        <f t="shared" si="28"/>
        <v>9117.9958974358979</v>
      </c>
      <c r="S44" s="13">
        <f t="shared" si="28"/>
        <v>6850.3410204081629</v>
      </c>
    </row>
    <row r="45" spans="1:19" ht="15.75" thickBot="1" x14ac:dyDescent="0.3">
      <c r="A45" t="s">
        <v>19</v>
      </c>
      <c r="B45" t="s">
        <v>10</v>
      </c>
      <c r="C45" s="23">
        <f>+C17+C28+C40</f>
        <v>0.14006569275698624</v>
      </c>
      <c r="D45" s="23">
        <f t="shared" ref="D45:S45" si="29">+D17+D28+D40</f>
        <v>0.14017844910029367</v>
      </c>
      <c r="E45" s="23">
        <f t="shared" si="29"/>
        <v>0.12569137085541696</v>
      </c>
      <c r="F45" s="24">
        <f t="shared" si="29"/>
        <v>0.18281565041857151</v>
      </c>
      <c r="G45" s="23">
        <f t="shared" si="29"/>
        <v>0.11522596407482953</v>
      </c>
      <c r="H45" s="23">
        <f t="shared" si="29"/>
        <v>0.12237669904073513</v>
      </c>
      <c r="I45" s="23">
        <f t="shared" si="29"/>
        <v>0.12168978494040583</v>
      </c>
      <c r="J45" s="24">
        <f t="shared" si="29"/>
        <v>0.16386811859173731</v>
      </c>
      <c r="K45" s="23">
        <f t="shared" si="29"/>
        <v>0.2256682637387924</v>
      </c>
      <c r="L45" s="23">
        <f t="shared" si="29"/>
        <v>0.19720702619642302</v>
      </c>
      <c r="M45" s="23">
        <f t="shared" si="29"/>
        <v>0.23814042042982894</v>
      </c>
      <c r="N45" s="24">
        <f t="shared" si="29"/>
        <v>0.28696657101184947</v>
      </c>
      <c r="O45" s="23">
        <f t="shared" si="29"/>
        <v>0.24790939384094324</v>
      </c>
      <c r="P45" s="23">
        <f t="shared" si="29"/>
        <v>0.30892289990018873</v>
      </c>
      <c r="Q45" s="23">
        <f t="shared" si="29"/>
        <v>0.31665549149540584</v>
      </c>
      <c r="R45" s="24">
        <f t="shared" si="29"/>
        <v>0.34909025939156907</v>
      </c>
      <c r="S45" s="24">
        <f t="shared" si="29"/>
        <v>0.24689999080561223</v>
      </c>
    </row>
    <row r="50" spans="1:21" x14ac:dyDescent="0.25">
      <c r="A50" t="s">
        <v>8</v>
      </c>
      <c r="C50" s="2">
        <f t="shared" ref="C50:L50" si="30">SUM(C51:C57)</f>
        <v>239609</v>
      </c>
      <c r="D50" s="2">
        <f t="shared" si="30"/>
        <v>235062</v>
      </c>
      <c r="E50" s="2">
        <f t="shared" si="30"/>
        <v>279609</v>
      </c>
      <c r="F50" s="2">
        <f t="shared" si="30"/>
        <v>0</v>
      </c>
      <c r="G50" s="2">
        <f t="shared" si="30"/>
        <v>273639</v>
      </c>
      <c r="H50" s="2">
        <f t="shared" si="30"/>
        <v>291191</v>
      </c>
      <c r="I50" s="2">
        <f t="shared" si="30"/>
        <v>328295</v>
      </c>
      <c r="J50" s="2">
        <f t="shared" si="30"/>
        <v>0</v>
      </c>
      <c r="K50" s="2">
        <f t="shared" si="30"/>
        <v>374427</v>
      </c>
      <c r="L50" s="2">
        <f t="shared" si="30"/>
        <v>386253</v>
      </c>
      <c r="M50" s="2">
        <f>SUM(M51:M57)</f>
        <v>338614</v>
      </c>
      <c r="N50" s="2">
        <f t="shared" ref="N50:R50" si="31">SUM(N51:N57)</f>
        <v>0</v>
      </c>
      <c r="O50" s="2">
        <f t="shared" si="31"/>
        <v>320385</v>
      </c>
      <c r="P50" s="2">
        <f t="shared" si="31"/>
        <v>299803</v>
      </c>
      <c r="Q50" s="2">
        <f t="shared" si="31"/>
        <v>308608</v>
      </c>
      <c r="R50" s="2">
        <f t="shared" si="31"/>
        <v>0</v>
      </c>
      <c r="S50" s="5">
        <f>SUM(C50:R50)</f>
        <v>3675495</v>
      </c>
    </row>
    <row r="51" spans="1:21" x14ac:dyDescent="0.25">
      <c r="C51" s="5">
        <v>55551</v>
      </c>
      <c r="D51" s="5">
        <v>62397</v>
      </c>
      <c r="E51" s="5">
        <v>69949</v>
      </c>
      <c r="F51" s="5"/>
      <c r="G51" s="5">
        <v>182171</v>
      </c>
      <c r="H51" s="5">
        <v>192371</v>
      </c>
      <c r="I51" s="5">
        <v>132348</v>
      </c>
      <c r="J51" s="5"/>
      <c r="K51" s="5">
        <v>139463</v>
      </c>
      <c r="L51" s="5">
        <v>74560</v>
      </c>
      <c r="M51" s="5">
        <v>67750</v>
      </c>
      <c r="N51" s="5"/>
      <c r="O51" s="5">
        <v>113916</v>
      </c>
      <c r="P51" s="5">
        <v>111400</v>
      </c>
      <c r="Q51" s="5">
        <v>113155</v>
      </c>
    </row>
    <row r="52" spans="1:21" x14ac:dyDescent="0.25">
      <c r="C52" s="5">
        <v>85271</v>
      </c>
      <c r="D52" s="5">
        <v>97513</v>
      </c>
      <c r="E52" s="5">
        <v>128845</v>
      </c>
      <c r="F52" s="5"/>
      <c r="G52" s="5">
        <v>91468</v>
      </c>
      <c r="H52" s="5">
        <v>98820</v>
      </c>
      <c r="I52" s="5">
        <v>92228</v>
      </c>
      <c r="J52" s="5"/>
      <c r="K52" s="5">
        <v>103091</v>
      </c>
      <c r="L52" s="5">
        <v>56404</v>
      </c>
      <c r="M52" s="5">
        <v>50799</v>
      </c>
      <c r="N52" s="5"/>
      <c r="O52" s="5">
        <v>87306</v>
      </c>
      <c r="P52" s="5">
        <v>81858</v>
      </c>
      <c r="Q52" s="5">
        <v>86482</v>
      </c>
    </row>
    <row r="53" spans="1:21" x14ac:dyDescent="0.25">
      <c r="C53" s="5">
        <v>98787</v>
      </c>
      <c r="D53" s="5">
        <v>75152</v>
      </c>
      <c r="E53" s="5">
        <v>80815</v>
      </c>
      <c r="F53" s="5"/>
      <c r="G53" s="5"/>
      <c r="H53" s="5"/>
      <c r="I53" s="5">
        <v>103719</v>
      </c>
      <c r="J53" s="5"/>
      <c r="K53" s="5">
        <v>131873</v>
      </c>
      <c r="L53" s="5">
        <v>72977</v>
      </c>
      <c r="M53" s="5">
        <v>64425</v>
      </c>
      <c r="N53" s="5"/>
      <c r="O53" s="5">
        <v>119163</v>
      </c>
      <c r="P53" s="5">
        <v>106545</v>
      </c>
      <c r="Q53" s="5">
        <v>108971</v>
      </c>
    </row>
    <row r="54" spans="1:21" x14ac:dyDescent="0.25">
      <c r="H54" s="5"/>
      <c r="I54" s="5"/>
      <c r="L54" s="5">
        <v>67454</v>
      </c>
      <c r="M54" s="5">
        <v>58609</v>
      </c>
      <c r="O54" s="5"/>
    </row>
    <row r="55" spans="1:21" x14ac:dyDescent="0.25">
      <c r="H55" s="5"/>
      <c r="I55" s="5"/>
      <c r="L55" s="5">
        <v>49712</v>
      </c>
      <c r="M55" s="5">
        <v>43173</v>
      </c>
      <c r="O55" s="5"/>
    </row>
    <row r="56" spans="1:21" x14ac:dyDescent="0.25">
      <c r="L56" s="5">
        <v>65146</v>
      </c>
      <c r="M56" s="5">
        <v>53858</v>
      </c>
      <c r="O56" s="5"/>
    </row>
    <row r="57" spans="1:21" x14ac:dyDescent="0.25">
      <c r="P57" s="5"/>
      <c r="U57" s="5"/>
    </row>
  </sheetData>
  <pageMargins left="0.27559055118110237" right="0.27559055118110237" top="0.41" bottom="0.53" header="0.19" footer="0.24"/>
  <pageSetup paperSize="9" scale="7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D754-DDE9-4AD3-95B6-0D645507A851}">
  <sheetPr>
    <pageSetUpPr fitToPage="1"/>
  </sheetPr>
  <dimension ref="A1:U51"/>
  <sheetViews>
    <sheetView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G9" sqref="G9"/>
    </sheetView>
  </sheetViews>
  <sheetFormatPr baseColWidth="10" defaultRowHeight="15" x14ac:dyDescent="0.25"/>
  <cols>
    <col min="1" max="1" width="15.7109375" customWidth="1"/>
    <col min="2" max="2" width="5" bestFit="1" customWidth="1"/>
    <col min="3" max="5" width="10.140625" bestFit="1" customWidth="1"/>
    <col min="6" max="6" width="11.7109375" bestFit="1" customWidth="1"/>
    <col min="7" max="9" width="10.140625" bestFit="1" customWidth="1"/>
    <col min="10" max="10" width="11.7109375" bestFit="1" customWidth="1"/>
    <col min="11" max="13" width="10.140625" bestFit="1" customWidth="1"/>
    <col min="14" max="14" width="11.7109375" bestFit="1" customWidth="1"/>
    <col min="15" max="17" width="10.140625" bestFit="1" customWidth="1"/>
    <col min="18" max="19" width="11.7109375" bestFit="1" customWidth="1"/>
  </cols>
  <sheetData>
    <row r="1" spans="1:19" ht="24" thickBot="1" x14ac:dyDescent="0.4">
      <c r="A1" s="44" t="s">
        <v>5</v>
      </c>
      <c r="B1" s="3"/>
    </row>
    <row r="2" spans="1:19" ht="27" thickBot="1" x14ac:dyDescent="0.45">
      <c r="A2" s="32">
        <v>2022</v>
      </c>
      <c r="C2" s="40">
        <v>44562</v>
      </c>
      <c r="D2" s="40">
        <v>44593</v>
      </c>
      <c r="E2" s="41">
        <v>44621</v>
      </c>
      <c r="F2" s="42" t="s">
        <v>0</v>
      </c>
      <c r="G2" s="43">
        <v>44652</v>
      </c>
      <c r="H2" s="43">
        <v>44682</v>
      </c>
      <c r="I2" s="43">
        <v>44713</v>
      </c>
      <c r="J2" s="42" t="s">
        <v>2</v>
      </c>
      <c r="K2" s="43">
        <v>44743</v>
      </c>
      <c r="L2" s="43">
        <v>44774</v>
      </c>
      <c r="M2" s="43">
        <v>44805</v>
      </c>
      <c r="N2" s="42" t="s">
        <v>3</v>
      </c>
      <c r="O2" s="43">
        <v>44835</v>
      </c>
      <c r="P2" s="43">
        <v>44866</v>
      </c>
      <c r="Q2" s="43">
        <v>44896</v>
      </c>
      <c r="R2" s="42" t="s">
        <v>4</v>
      </c>
      <c r="S2" s="42" t="s">
        <v>7</v>
      </c>
    </row>
    <row r="3" spans="1:19" ht="15.75" thickBot="1" x14ac:dyDescent="0.3">
      <c r="F3" s="39"/>
      <c r="J3" s="39"/>
      <c r="N3" s="39"/>
      <c r="R3" s="39"/>
      <c r="S3" s="39"/>
    </row>
    <row r="4" spans="1:19" ht="15.75" thickBot="1" x14ac:dyDescent="0.3">
      <c r="A4" t="s">
        <v>9</v>
      </c>
      <c r="C4" s="6">
        <v>13</v>
      </c>
      <c r="D4" s="6">
        <v>15</v>
      </c>
      <c r="E4" s="7">
        <v>18</v>
      </c>
      <c r="F4" s="9">
        <f>SUM(C4:E4)</f>
        <v>46</v>
      </c>
      <c r="G4" s="8">
        <v>17</v>
      </c>
      <c r="H4" s="6">
        <v>19</v>
      </c>
      <c r="I4" s="7">
        <v>18</v>
      </c>
      <c r="J4" s="9">
        <f>SUM(G4:I4)</f>
        <v>54</v>
      </c>
      <c r="K4" s="8">
        <v>14</v>
      </c>
      <c r="L4" s="6">
        <v>15</v>
      </c>
      <c r="M4" s="7">
        <v>14</v>
      </c>
      <c r="N4" s="9">
        <f>SUM(K4:M4)</f>
        <v>43</v>
      </c>
      <c r="O4" s="7">
        <v>16</v>
      </c>
      <c r="P4" s="6">
        <v>13</v>
      </c>
      <c r="Q4" s="7">
        <v>14</v>
      </c>
      <c r="R4" s="9">
        <f>SUM(O4:Q4)</f>
        <v>43</v>
      </c>
      <c r="S4" s="9">
        <f>F4+J4+N4+R4</f>
        <v>186</v>
      </c>
    </row>
    <row r="5" spans="1:19" ht="15.75" thickBot="1" x14ac:dyDescent="0.3">
      <c r="A5" t="s">
        <v>17</v>
      </c>
      <c r="C5" s="13">
        <v>370002</v>
      </c>
      <c r="D5" s="13">
        <v>412621</v>
      </c>
      <c r="E5" s="14">
        <v>451753</v>
      </c>
      <c r="F5" s="15">
        <f>SUM(C5:E5)</f>
        <v>1234376</v>
      </c>
      <c r="G5" s="16">
        <v>431929</v>
      </c>
      <c r="H5" s="13">
        <v>455417</v>
      </c>
      <c r="I5" s="13">
        <v>481557</v>
      </c>
      <c r="J5" s="15">
        <f>SUM(G5:I5)</f>
        <v>1368903</v>
      </c>
      <c r="K5" s="13">
        <v>389585</v>
      </c>
      <c r="L5" s="13">
        <v>417709</v>
      </c>
      <c r="M5" s="13">
        <v>412096</v>
      </c>
      <c r="N5" s="15">
        <f>SUM(K5:M5)</f>
        <v>1219390</v>
      </c>
      <c r="O5" s="13">
        <v>448709.5</v>
      </c>
      <c r="P5" s="13">
        <v>386699.7</v>
      </c>
      <c r="Q5" s="13">
        <v>439455.19</v>
      </c>
      <c r="R5" s="15">
        <f>SUM(O5:Q5)</f>
        <v>1274864.3899999999</v>
      </c>
      <c r="S5" s="15">
        <f>F5+J5+N5+R5</f>
        <v>5097533.3899999997</v>
      </c>
    </row>
    <row r="6" spans="1:19" x14ac:dyDescent="0.25">
      <c r="F6" s="39"/>
      <c r="J6" s="39"/>
      <c r="N6" s="39"/>
      <c r="R6" s="39"/>
      <c r="S6" s="39"/>
    </row>
    <row r="7" spans="1:19" x14ac:dyDescent="0.25">
      <c r="A7" s="22" t="s">
        <v>11</v>
      </c>
      <c r="B7" s="22"/>
      <c r="D7" s="29" t="s">
        <v>24</v>
      </c>
      <c r="F7" s="39"/>
      <c r="J7" s="39"/>
      <c r="N7" s="39"/>
      <c r="R7" s="39"/>
      <c r="S7" s="39"/>
    </row>
    <row r="8" spans="1:19" ht="15.75" thickBot="1" x14ac:dyDescent="0.3">
      <c r="F8" s="39"/>
      <c r="J8" s="39"/>
      <c r="N8" s="39"/>
      <c r="R8" s="39"/>
      <c r="S8" s="39"/>
    </row>
    <row r="9" spans="1:19" ht="15.75" thickBot="1" x14ac:dyDescent="0.3">
      <c r="A9" t="s">
        <v>6</v>
      </c>
      <c r="C9" s="1">
        <v>588365</v>
      </c>
      <c r="D9" s="1">
        <v>593904</v>
      </c>
      <c r="E9" s="10">
        <v>664490</v>
      </c>
      <c r="F9" s="12">
        <f>SUM(C9:E9)</f>
        <v>1846759</v>
      </c>
      <c r="G9" s="11">
        <v>627236</v>
      </c>
      <c r="H9" s="1">
        <v>620269</v>
      </c>
      <c r="I9" s="10">
        <v>571982</v>
      </c>
      <c r="J9" s="12">
        <f>SUM(G9:I9)</f>
        <v>1819487</v>
      </c>
      <c r="K9" s="11">
        <v>515425</v>
      </c>
      <c r="L9" s="1">
        <v>531892</v>
      </c>
      <c r="M9" s="10">
        <v>509077</v>
      </c>
      <c r="N9" s="12">
        <f>SUM(K9:M9)</f>
        <v>1556394</v>
      </c>
      <c r="O9" s="10">
        <v>579141</v>
      </c>
      <c r="P9" s="1">
        <v>555329</v>
      </c>
      <c r="Q9" s="10">
        <v>613856</v>
      </c>
      <c r="R9" s="12">
        <f>SUM(O9:Q9)</f>
        <v>1748326</v>
      </c>
      <c r="S9" s="12">
        <f>F9+J9+N9+R9</f>
        <v>6970966</v>
      </c>
    </row>
    <row r="10" spans="1:19" ht="15.75" thickBot="1" x14ac:dyDescent="0.3">
      <c r="A10" t="s">
        <v>15</v>
      </c>
      <c r="C10" s="13">
        <v>19247.240000000002</v>
      </c>
      <c r="D10" s="13">
        <v>18969.150000000001</v>
      </c>
      <c r="E10" s="14">
        <v>21076.46</v>
      </c>
      <c r="F10" s="15">
        <f>SUM(C10:E10)</f>
        <v>59292.85</v>
      </c>
      <c r="G10" s="16">
        <v>67678.19</v>
      </c>
      <c r="H10" s="13">
        <v>60491.72</v>
      </c>
      <c r="I10" s="14">
        <v>63148.36</v>
      </c>
      <c r="J10" s="15">
        <f>SUM(G10:I10)</f>
        <v>191318.27000000002</v>
      </c>
      <c r="K10" s="16">
        <v>85544.24</v>
      </c>
      <c r="L10" s="13">
        <v>120026.21</v>
      </c>
      <c r="M10" s="14">
        <v>95567.47</v>
      </c>
      <c r="N10" s="15">
        <f>SUM(K10:M10)</f>
        <v>301137.92000000004</v>
      </c>
      <c r="O10" s="14">
        <v>42653.88</v>
      </c>
      <c r="P10" s="13">
        <v>48645.38</v>
      </c>
      <c r="Q10" s="14">
        <v>69468.55</v>
      </c>
      <c r="R10" s="15">
        <f>SUM(O10:Q10)</f>
        <v>160767.81</v>
      </c>
      <c r="S10" s="15">
        <f>F10+J10+N10+R10</f>
        <v>712516.85000000009</v>
      </c>
    </row>
    <row r="11" spans="1:19" ht="15.75" thickBot="1" x14ac:dyDescent="0.3">
      <c r="A11" t="s">
        <v>23</v>
      </c>
      <c r="C11" s="13">
        <f>+C10/C9</f>
        <v>3.2713094762604845E-2</v>
      </c>
      <c r="D11" s="13">
        <f t="shared" ref="D11:S11" si="0">+D10/D9</f>
        <v>3.1939757940677285E-2</v>
      </c>
      <c r="E11" s="14">
        <f t="shared" si="0"/>
        <v>3.1718250086532528E-2</v>
      </c>
      <c r="F11" s="15">
        <f t="shared" si="0"/>
        <v>3.2106436194435768E-2</v>
      </c>
      <c r="G11" s="16">
        <f t="shared" si="0"/>
        <v>0.10789908423623644</v>
      </c>
      <c r="H11" s="13">
        <f t="shared" si="0"/>
        <v>9.7524977066401841E-2</v>
      </c>
      <c r="I11" s="13">
        <f t="shared" si="0"/>
        <v>0.11040270498022665</v>
      </c>
      <c r="J11" s="15">
        <f t="shared" si="0"/>
        <v>0.10514956688341275</v>
      </c>
      <c r="K11" s="13">
        <f t="shared" si="0"/>
        <v>0.16596835621089392</v>
      </c>
      <c r="L11" s="13">
        <f t="shared" si="0"/>
        <v>0.2256589871628075</v>
      </c>
      <c r="M11" s="13">
        <f t="shared" si="0"/>
        <v>0.18772694503974841</v>
      </c>
      <c r="N11" s="15">
        <f t="shared" si="0"/>
        <v>0.19348437477913694</v>
      </c>
      <c r="O11" s="13">
        <f t="shared" si="0"/>
        <v>7.3650250975151127E-2</v>
      </c>
      <c r="P11" s="13">
        <f t="shared" si="0"/>
        <v>8.7597406222257437E-2</v>
      </c>
      <c r="Q11" s="13">
        <f t="shared" si="0"/>
        <v>0.11316750182453214</v>
      </c>
      <c r="R11" s="15">
        <f t="shared" si="0"/>
        <v>9.1955281795271585E-2</v>
      </c>
      <c r="S11" s="15">
        <f t="shared" si="0"/>
        <v>0.10221206788270092</v>
      </c>
    </row>
    <row r="12" spans="1:19" ht="15.75" thickBot="1" x14ac:dyDescent="0.3">
      <c r="F12" s="39"/>
      <c r="J12" s="39"/>
      <c r="K12" s="27"/>
      <c r="N12" s="39"/>
      <c r="R12" s="39"/>
      <c r="S12" s="39"/>
    </row>
    <row r="13" spans="1:19" ht="15.75" thickBot="1" x14ac:dyDescent="0.3">
      <c r="A13" t="s">
        <v>14</v>
      </c>
      <c r="B13" t="s">
        <v>6</v>
      </c>
      <c r="C13" s="1">
        <f t="shared" ref="C13:S13" si="1">+C9/C4</f>
        <v>45258.846153846156</v>
      </c>
      <c r="D13" s="1">
        <f t="shared" si="1"/>
        <v>39593.599999999999</v>
      </c>
      <c r="E13" s="10">
        <f t="shared" si="1"/>
        <v>36916.111111111109</v>
      </c>
      <c r="F13" s="12">
        <f t="shared" si="1"/>
        <v>40146.934782608696</v>
      </c>
      <c r="G13" s="11">
        <f t="shared" si="1"/>
        <v>36896.23529411765</v>
      </c>
      <c r="H13" s="1">
        <f t="shared" si="1"/>
        <v>32645.736842105263</v>
      </c>
      <c r="I13" s="1">
        <f t="shared" si="1"/>
        <v>31776.777777777777</v>
      </c>
      <c r="J13" s="12">
        <f t="shared" si="1"/>
        <v>33694.203703703701</v>
      </c>
      <c r="K13" s="1">
        <f t="shared" si="1"/>
        <v>36816.071428571428</v>
      </c>
      <c r="L13" s="1">
        <f t="shared" si="1"/>
        <v>35459.466666666667</v>
      </c>
      <c r="M13" s="1">
        <f t="shared" si="1"/>
        <v>36362.642857142855</v>
      </c>
      <c r="N13" s="12">
        <f t="shared" si="1"/>
        <v>36195.20930232558</v>
      </c>
      <c r="O13" s="1">
        <f t="shared" si="1"/>
        <v>36196.3125</v>
      </c>
      <c r="P13" s="1">
        <f t="shared" si="1"/>
        <v>42717.615384615383</v>
      </c>
      <c r="Q13" s="1">
        <f t="shared" si="1"/>
        <v>43846.857142857145</v>
      </c>
      <c r="R13" s="12">
        <f t="shared" si="1"/>
        <v>40658.744186046511</v>
      </c>
      <c r="S13" s="12">
        <f t="shared" si="1"/>
        <v>37478.31182795699</v>
      </c>
    </row>
    <row r="14" spans="1:19" ht="15.75" thickBot="1" x14ac:dyDescent="0.3">
      <c r="A14" t="s">
        <v>14</v>
      </c>
      <c r="B14" t="s">
        <v>10</v>
      </c>
      <c r="C14" s="13">
        <f t="shared" ref="C14:S14" si="2">+C10/C4</f>
        <v>1480.5569230769231</v>
      </c>
      <c r="D14" s="13">
        <f t="shared" si="2"/>
        <v>1264.6100000000001</v>
      </c>
      <c r="E14" s="14">
        <f t="shared" si="2"/>
        <v>1170.9144444444444</v>
      </c>
      <c r="F14" s="15">
        <f t="shared" si="2"/>
        <v>1288.9749999999999</v>
      </c>
      <c r="G14" s="16">
        <f t="shared" si="2"/>
        <v>3981.07</v>
      </c>
      <c r="H14" s="13">
        <f t="shared" si="2"/>
        <v>3183.7747368421055</v>
      </c>
      <c r="I14" s="13">
        <f t="shared" si="2"/>
        <v>3508.2422222222222</v>
      </c>
      <c r="J14" s="15">
        <f t="shared" si="2"/>
        <v>3542.9309259259262</v>
      </c>
      <c r="K14" s="13">
        <f t="shared" si="2"/>
        <v>6110.3028571428576</v>
      </c>
      <c r="L14" s="13">
        <f t="shared" si="2"/>
        <v>8001.7473333333337</v>
      </c>
      <c r="M14" s="13">
        <f t="shared" si="2"/>
        <v>6826.2478571428574</v>
      </c>
      <c r="N14" s="15">
        <f t="shared" si="2"/>
        <v>7003.2074418604661</v>
      </c>
      <c r="O14" s="13">
        <f t="shared" si="2"/>
        <v>2665.8674999999998</v>
      </c>
      <c r="P14" s="13">
        <f t="shared" si="2"/>
        <v>3741.9523076923074</v>
      </c>
      <c r="Q14" s="13">
        <f t="shared" si="2"/>
        <v>4962.0392857142861</v>
      </c>
      <c r="R14" s="15">
        <f t="shared" si="2"/>
        <v>3738.7862790697673</v>
      </c>
      <c r="S14" s="15">
        <f t="shared" si="2"/>
        <v>3830.7357526881724</v>
      </c>
    </row>
    <row r="15" spans="1:19" ht="15.75" thickBot="1" x14ac:dyDescent="0.3">
      <c r="A15" t="s">
        <v>20</v>
      </c>
      <c r="B15" t="s">
        <v>6</v>
      </c>
      <c r="C15" s="30">
        <f>+C9/C5</f>
        <v>1.5901670801779451</v>
      </c>
      <c r="D15" s="30">
        <f t="shared" ref="D15:R15" si="3">+D9/D5</f>
        <v>1.4393450648415858</v>
      </c>
      <c r="E15" s="33">
        <f t="shared" si="3"/>
        <v>1.4709144156209255</v>
      </c>
      <c r="F15" s="31">
        <f t="shared" si="3"/>
        <v>1.4961073449256952</v>
      </c>
      <c r="G15" s="36">
        <f t="shared" si="3"/>
        <v>1.4521738526470787</v>
      </c>
      <c r="H15" s="30">
        <f t="shared" si="3"/>
        <v>1.3619803388981966</v>
      </c>
      <c r="I15" s="30">
        <f t="shared" si="3"/>
        <v>1.1877763172376272</v>
      </c>
      <c r="J15" s="31">
        <f t="shared" si="3"/>
        <v>1.3291569965147274</v>
      </c>
      <c r="K15" s="30">
        <f t="shared" si="3"/>
        <v>1.323010382843282</v>
      </c>
      <c r="L15" s="30">
        <f t="shared" si="3"/>
        <v>1.2733553741959116</v>
      </c>
      <c r="M15" s="30">
        <f t="shared" si="3"/>
        <v>1.2353359411399285</v>
      </c>
      <c r="N15" s="31">
        <f t="shared" si="3"/>
        <v>1.2763709723714316</v>
      </c>
      <c r="O15" s="30">
        <f t="shared" si="3"/>
        <v>1.2906813874009799</v>
      </c>
      <c r="P15" s="30">
        <f t="shared" si="3"/>
        <v>1.4360730044528092</v>
      </c>
      <c r="Q15" s="30">
        <f t="shared" si="3"/>
        <v>1.3968568672496506</v>
      </c>
      <c r="R15" s="31">
        <f t="shared" si="3"/>
        <v>1.3713819396900717</v>
      </c>
      <c r="S15" s="31">
        <f>+S9/S5</f>
        <v>1.3675174769183809</v>
      </c>
    </row>
    <row r="16" spans="1:19" ht="15.75" thickBot="1" x14ac:dyDescent="0.3">
      <c r="A16" t="s">
        <v>19</v>
      </c>
      <c r="B16" t="s">
        <v>10</v>
      </c>
      <c r="C16" s="25">
        <f t="shared" ref="C16:S16" si="4">+C10/C5</f>
        <v>5.2019286382235776E-2</v>
      </c>
      <c r="D16" s="25">
        <f t="shared" si="4"/>
        <v>4.5972332964148703E-2</v>
      </c>
      <c r="E16" s="34">
        <f t="shared" si="4"/>
        <v>4.6654831290550362E-2</v>
      </c>
      <c r="F16" s="26">
        <f t="shared" si="4"/>
        <v>4.8034675009883537E-2</v>
      </c>
      <c r="G16" s="37">
        <f t="shared" si="4"/>
        <v>0.15668822885242714</v>
      </c>
      <c r="H16" s="25">
        <f t="shared" si="4"/>
        <v>0.13282710131593684</v>
      </c>
      <c r="I16" s="25">
        <f t="shared" si="4"/>
        <v>0.13113371833448584</v>
      </c>
      <c r="J16" s="26">
        <f t="shared" si="4"/>
        <v>0.13976028250358136</v>
      </c>
      <c r="K16" s="25">
        <f t="shared" si="4"/>
        <v>0.21957785849044498</v>
      </c>
      <c r="L16" s="25">
        <f t="shared" si="4"/>
        <v>0.28734408403936712</v>
      </c>
      <c r="M16" s="25">
        <f t="shared" si="4"/>
        <v>0.23190584232800124</v>
      </c>
      <c r="N16" s="26">
        <f t="shared" si="4"/>
        <v>0.2469578395755255</v>
      </c>
      <c r="O16" s="25">
        <f t="shared" si="4"/>
        <v>9.5059008111038429E-2</v>
      </c>
      <c r="P16" s="25">
        <f t="shared" si="4"/>
        <v>0.12579627033587043</v>
      </c>
      <c r="Q16" s="25">
        <f t="shared" si="4"/>
        <v>0.15807880207308508</v>
      </c>
      <c r="R16" s="26">
        <f t="shared" si="4"/>
        <v>0.12610581271314669</v>
      </c>
      <c r="S16" s="26">
        <f t="shared" si="4"/>
        <v>0.13977678918156142</v>
      </c>
    </row>
    <row r="18" spans="1:21" ht="15.75" thickBot="1" x14ac:dyDescent="0.3">
      <c r="A18" s="22" t="s">
        <v>12</v>
      </c>
      <c r="B18" s="22"/>
    </row>
    <row r="19" spans="1:21" ht="15.75" thickBot="1" x14ac:dyDescent="0.3">
      <c r="A19" t="s">
        <v>1</v>
      </c>
      <c r="C19" s="45"/>
      <c r="D19" s="45"/>
      <c r="E19" s="46"/>
      <c r="F19" s="12">
        <v>35414</v>
      </c>
      <c r="G19" s="51"/>
      <c r="H19" s="45"/>
      <c r="I19" s="46"/>
      <c r="J19" s="12">
        <v>40990</v>
      </c>
      <c r="K19" s="51"/>
      <c r="L19" s="45"/>
      <c r="M19" s="46"/>
      <c r="N19" s="12">
        <v>31695</v>
      </c>
      <c r="O19" s="46"/>
      <c r="P19" s="45"/>
      <c r="Q19" s="46"/>
      <c r="R19" s="12">
        <v>30567</v>
      </c>
      <c r="S19" s="12">
        <f>F19+J19+N19+R19</f>
        <v>138666</v>
      </c>
      <c r="T19">
        <f>+R20/R19</f>
        <v>1.5537187162626362</v>
      </c>
    </row>
    <row r="20" spans="1:21" ht="15.75" thickBot="1" x14ac:dyDescent="0.3">
      <c r="A20" t="s">
        <v>15</v>
      </c>
      <c r="C20" s="47"/>
      <c r="D20" s="47"/>
      <c r="E20" s="48"/>
      <c r="F20" s="15">
        <v>71111.37</v>
      </c>
      <c r="G20" s="52"/>
      <c r="H20" s="47"/>
      <c r="I20" s="48"/>
      <c r="J20" s="15">
        <v>63752.4</v>
      </c>
      <c r="K20" s="52"/>
      <c r="L20" s="47"/>
      <c r="M20" s="48"/>
      <c r="N20" s="15">
        <f>63025.33-13773.13</f>
        <v>49252.200000000004</v>
      </c>
      <c r="O20" s="48"/>
      <c r="P20" s="47"/>
      <c r="Q20" s="48"/>
      <c r="R20" s="15">
        <f>61265.65-13773.13</f>
        <v>47492.520000000004</v>
      </c>
      <c r="S20" s="15">
        <f>F20+J20+N20+R20</f>
        <v>231608.49</v>
      </c>
    </row>
    <row r="21" spans="1:21" ht="15.75" thickBot="1" x14ac:dyDescent="0.3">
      <c r="C21" s="49"/>
      <c r="D21" s="49"/>
      <c r="E21" s="49"/>
      <c r="F21" s="27"/>
      <c r="G21" s="49"/>
      <c r="H21" s="49"/>
      <c r="I21" s="49"/>
      <c r="J21" s="27"/>
      <c r="K21" s="49"/>
      <c r="L21" s="49"/>
      <c r="M21" s="49"/>
      <c r="N21" s="27"/>
      <c r="O21" s="49"/>
      <c r="P21" s="49"/>
      <c r="Q21" s="49"/>
      <c r="R21" s="27"/>
      <c r="S21" s="27"/>
      <c r="T21" s="27"/>
      <c r="U21" s="27"/>
    </row>
    <row r="22" spans="1:21" ht="15.75" thickBot="1" x14ac:dyDescent="0.3">
      <c r="A22" t="s">
        <v>14</v>
      </c>
      <c r="B22" t="s">
        <v>1</v>
      </c>
      <c r="C22" s="45">
        <f>+C19/C4</f>
        <v>0</v>
      </c>
      <c r="D22" s="45">
        <f>+D19/D4</f>
        <v>0</v>
      </c>
      <c r="E22" s="46"/>
      <c r="F22" s="15">
        <f>+F19/F4</f>
        <v>769.86956521739125</v>
      </c>
      <c r="G22" s="51"/>
      <c r="H22" s="45"/>
      <c r="I22" s="46"/>
      <c r="J22" s="15">
        <f>+J19/J4</f>
        <v>759.07407407407402</v>
      </c>
      <c r="K22" s="51"/>
      <c r="L22" s="45"/>
      <c r="M22" s="46"/>
      <c r="N22" s="15">
        <f>+N19/N4</f>
        <v>737.09302325581393</v>
      </c>
      <c r="O22" s="46"/>
      <c r="P22" s="45"/>
      <c r="Q22" s="46"/>
      <c r="R22" s="15">
        <f>+R19/R4</f>
        <v>710.8604651162791</v>
      </c>
      <c r="S22" s="15">
        <f>+S19/S4</f>
        <v>745.51612903225805</v>
      </c>
    </row>
    <row r="23" spans="1:21" ht="15.75" thickBot="1" x14ac:dyDescent="0.3">
      <c r="A23" t="s">
        <v>14</v>
      </c>
      <c r="B23" t="s">
        <v>10</v>
      </c>
      <c r="C23" s="47">
        <f>+C20/C4</f>
        <v>0</v>
      </c>
      <c r="D23" s="47">
        <f>+D20/D4</f>
        <v>0</v>
      </c>
      <c r="E23" s="48"/>
      <c r="F23" s="15">
        <f>+F20/F4</f>
        <v>1545.8993478260868</v>
      </c>
      <c r="G23" s="52"/>
      <c r="H23" s="47"/>
      <c r="I23" s="48"/>
      <c r="J23" s="15">
        <f>+J20/J4</f>
        <v>1180.6000000000001</v>
      </c>
      <c r="K23" s="52"/>
      <c r="L23" s="47"/>
      <c r="M23" s="48"/>
      <c r="N23" s="15">
        <f>+N20/N4</f>
        <v>1145.4000000000001</v>
      </c>
      <c r="O23" s="48"/>
      <c r="P23" s="47"/>
      <c r="Q23" s="48"/>
      <c r="R23" s="15">
        <f>+R20/R4</f>
        <v>1104.4772093023257</v>
      </c>
      <c r="S23" s="15">
        <f>+S20/S4</f>
        <v>1245.2069354838709</v>
      </c>
    </row>
    <row r="24" spans="1:21" ht="15.75" thickBot="1" x14ac:dyDescent="0.3">
      <c r="A24" t="s">
        <v>21</v>
      </c>
      <c r="B24" t="s">
        <v>1</v>
      </c>
      <c r="C24" s="50">
        <f>+C19/C5</f>
        <v>0</v>
      </c>
      <c r="D24" s="50">
        <f>+D19/D5</f>
        <v>0</v>
      </c>
      <c r="E24" s="55"/>
      <c r="F24" s="31">
        <f>+F19/F5</f>
        <v>2.8689799542440875E-2</v>
      </c>
      <c r="G24" s="53"/>
      <c r="H24" s="50"/>
      <c r="I24" s="50"/>
      <c r="J24" s="31">
        <f>+J19/J5</f>
        <v>2.9943684833768355E-2</v>
      </c>
      <c r="K24" s="50"/>
      <c r="L24" s="50"/>
      <c r="M24" s="50"/>
      <c r="N24" s="31">
        <f>+N19/N5</f>
        <v>2.5992504448945783E-2</v>
      </c>
      <c r="O24" s="50"/>
      <c r="P24" s="50"/>
      <c r="Q24" s="50"/>
      <c r="R24" s="31">
        <f>+R19/R5</f>
        <v>2.3976667824253842E-2</v>
      </c>
      <c r="S24" s="31">
        <f>+S19/S5</f>
        <v>2.7202568260175735E-2</v>
      </c>
    </row>
    <row r="25" spans="1:21" ht="15.75" thickBot="1" x14ac:dyDescent="0.3">
      <c r="A25" t="s">
        <v>19</v>
      </c>
      <c r="B25" t="s">
        <v>10</v>
      </c>
      <c r="C25" s="50">
        <f>+C20/C5</f>
        <v>0</v>
      </c>
      <c r="D25" s="50">
        <f>+D20/D5</f>
        <v>0</v>
      </c>
      <c r="E25" s="55"/>
      <c r="F25" s="26">
        <f>+F20/F5</f>
        <v>5.7609164468524987E-2</v>
      </c>
      <c r="G25" s="53"/>
      <c r="H25" s="50"/>
      <c r="I25" s="50"/>
      <c r="J25" s="26">
        <f>+J20/J5</f>
        <v>4.6571890046263324E-2</v>
      </c>
      <c r="K25" s="50"/>
      <c r="L25" s="50"/>
      <c r="M25" s="50"/>
      <c r="N25" s="26">
        <f>+N20/N5</f>
        <v>4.0390851163286563E-2</v>
      </c>
      <c r="O25" s="50"/>
      <c r="P25" s="50"/>
      <c r="Q25" s="50"/>
      <c r="R25" s="26">
        <f>+R20/R5</f>
        <v>3.7252997552155338E-2</v>
      </c>
      <c r="S25" s="26">
        <f>+S20/S5</f>
        <v>4.5435404200461743E-2</v>
      </c>
    </row>
    <row r="27" spans="1:21" ht="15.75" thickBot="1" x14ac:dyDescent="0.3">
      <c r="A27" s="22" t="s">
        <v>13</v>
      </c>
      <c r="B27" s="22"/>
    </row>
    <row r="28" spans="1:21" ht="15.75" thickBot="1" x14ac:dyDescent="0.3">
      <c r="A28" t="s">
        <v>6</v>
      </c>
      <c r="C28" s="1">
        <f>+C44</f>
        <v>301813</v>
      </c>
      <c r="D28" s="1">
        <f>+D44</f>
        <v>317003</v>
      </c>
      <c r="E28" s="10">
        <f>+E44</f>
        <v>357916</v>
      </c>
      <c r="F28" s="12">
        <f>SUM(C28:E28)</f>
        <v>976732</v>
      </c>
      <c r="G28" s="11">
        <f>+G44</f>
        <v>397318</v>
      </c>
      <c r="H28" s="1">
        <f>+H44</f>
        <v>475610</v>
      </c>
      <c r="I28" s="10">
        <f>+I44</f>
        <v>483956</v>
      </c>
      <c r="J28" s="12">
        <f>SUM(G28:I28)</f>
        <v>1356884</v>
      </c>
      <c r="K28" s="11">
        <f>+K44</f>
        <v>421636</v>
      </c>
      <c r="L28" s="1">
        <f>+L44</f>
        <v>429112</v>
      </c>
      <c r="M28" s="10">
        <f>+M44</f>
        <v>398371</v>
      </c>
      <c r="N28" s="12">
        <f>SUM(K28:M28)</f>
        <v>1249119</v>
      </c>
      <c r="O28" s="10">
        <f>+O44</f>
        <v>397907</v>
      </c>
      <c r="P28" s="1">
        <f>+P44</f>
        <v>349079</v>
      </c>
      <c r="Q28" s="10">
        <f>+Q44</f>
        <v>341106</v>
      </c>
      <c r="R28" s="12">
        <f>SUM(O28:Q28)</f>
        <v>1088092</v>
      </c>
      <c r="S28" s="12">
        <f>F28+J28+N28+R28</f>
        <v>4670827</v>
      </c>
    </row>
    <row r="29" spans="1:21" ht="15.75" thickBot="1" x14ac:dyDescent="0.3">
      <c r="A29" t="s">
        <v>15</v>
      </c>
      <c r="C29" s="13">
        <v>86780.05</v>
      </c>
      <c r="D29" s="13">
        <v>93092.39</v>
      </c>
      <c r="E29" s="14">
        <f>125676.24+5378.39</f>
        <v>131054.63</v>
      </c>
      <c r="F29" s="15">
        <f>SUM(C29:E29)</f>
        <v>310927.07</v>
      </c>
      <c r="G29" s="16">
        <v>88790.96</v>
      </c>
      <c r="H29" s="13">
        <v>105782.07</v>
      </c>
      <c r="I29" s="14">
        <v>111119.22</v>
      </c>
      <c r="J29" s="15">
        <f>SUM(G29:I29)</f>
        <v>305692.25</v>
      </c>
      <c r="K29" s="16">
        <v>143782.31</v>
      </c>
      <c r="L29" s="13">
        <v>156150.04</v>
      </c>
      <c r="M29" s="14">
        <v>118893.9</v>
      </c>
      <c r="N29" s="15">
        <f>SUM(K29:M29)</f>
        <v>418826.25</v>
      </c>
      <c r="O29" s="14">
        <v>86708.85</v>
      </c>
      <c r="P29" s="13">
        <v>65770.27</v>
      </c>
      <c r="Q29" s="14">
        <v>72171.48</v>
      </c>
      <c r="R29" s="15">
        <f t="shared" ref="R29" si="5">SUM(O29:Q29)</f>
        <v>224650.59999999998</v>
      </c>
      <c r="S29" s="15">
        <f>F29+J29+N29+R29</f>
        <v>1260096.17</v>
      </c>
    </row>
    <row r="30" spans="1:21" ht="15.75" thickBot="1" x14ac:dyDescent="0.3">
      <c r="A30" t="s">
        <v>23</v>
      </c>
      <c r="C30" s="13">
        <f>+C29/C28</f>
        <v>0.28752919854346898</v>
      </c>
      <c r="D30" s="13">
        <f t="shared" ref="D30:R30" si="6">+D29/D28</f>
        <v>0.29366406627066621</v>
      </c>
      <c r="E30" s="14">
        <f t="shared" si="6"/>
        <v>0.36616030018216567</v>
      </c>
      <c r="F30" s="15">
        <f t="shared" si="6"/>
        <v>0.31833406707264633</v>
      </c>
      <c r="G30" s="16">
        <f t="shared" si="6"/>
        <v>0.22347580527436464</v>
      </c>
      <c r="H30" s="13">
        <f t="shared" si="6"/>
        <v>0.22241346901873385</v>
      </c>
      <c r="I30" s="13">
        <f t="shared" si="6"/>
        <v>0.22960603856548942</v>
      </c>
      <c r="J30" s="15">
        <f t="shared" si="6"/>
        <v>0.22528989213521569</v>
      </c>
      <c r="K30" s="13">
        <f t="shared" si="6"/>
        <v>0.34101051617983286</v>
      </c>
      <c r="L30" s="13">
        <f t="shared" si="6"/>
        <v>0.36389110535244878</v>
      </c>
      <c r="M30" s="13">
        <f t="shared" si="6"/>
        <v>0.29845018839222731</v>
      </c>
      <c r="N30" s="15">
        <f t="shared" si="6"/>
        <v>0.33529731754940884</v>
      </c>
      <c r="O30" s="13">
        <f t="shared" si="6"/>
        <v>0.21791235137858847</v>
      </c>
      <c r="P30" s="13">
        <f t="shared" si="6"/>
        <v>0.18841084682836837</v>
      </c>
      <c r="Q30" s="13">
        <f t="shared" si="6"/>
        <v>0.21158079893053772</v>
      </c>
      <c r="R30" s="15">
        <f t="shared" si="6"/>
        <v>0.20646287262474128</v>
      </c>
      <c r="S30" s="15">
        <f t="shared" ref="S30" si="7">+S29/S28</f>
        <v>0.26978009889897442</v>
      </c>
    </row>
    <row r="31" spans="1:21" ht="15.75" thickBot="1" x14ac:dyDescent="0.3">
      <c r="F31" s="39"/>
      <c r="G31" s="27"/>
      <c r="J31" s="39"/>
      <c r="N31" s="39"/>
      <c r="R31" s="39"/>
      <c r="S31" s="39"/>
    </row>
    <row r="32" spans="1:21" ht="15.75" thickBot="1" x14ac:dyDescent="0.3">
      <c r="A32" t="s">
        <v>14</v>
      </c>
      <c r="B32" t="s">
        <v>6</v>
      </c>
      <c r="C32" s="1">
        <f t="shared" ref="C32:S32" si="8">+C28/C4</f>
        <v>23216.384615384617</v>
      </c>
      <c r="D32" s="1">
        <f t="shared" si="8"/>
        <v>21133.533333333333</v>
      </c>
      <c r="E32" s="10">
        <f t="shared" si="8"/>
        <v>19884.222222222223</v>
      </c>
      <c r="F32" s="12">
        <f t="shared" si="8"/>
        <v>21233.304347826088</v>
      </c>
      <c r="G32" s="11">
        <f t="shared" si="8"/>
        <v>23371.647058823528</v>
      </c>
      <c r="H32" s="1">
        <f t="shared" si="8"/>
        <v>25032.105263157893</v>
      </c>
      <c r="I32" s="1">
        <f t="shared" si="8"/>
        <v>26886.444444444445</v>
      </c>
      <c r="J32" s="12">
        <f t="shared" si="8"/>
        <v>25127.481481481482</v>
      </c>
      <c r="K32" s="1">
        <f t="shared" si="8"/>
        <v>30116.857142857141</v>
      </c>
      <c r="L32" s="1">
        <f t="shared" si="8"/>
        <v>28607.466666666667</v>
      </c>
      <c r="M32" s="1">
        <f t="shared" si="8"/>
        <v>28455.071428571428</v>
      </c>
      <c r="N32" s="12">
        <f t="shared" si="8"/>
        <v>29049.279069767443</v>
      </c>
      <c r="O32" s="1">
        <f t="shared" si="8"/>
        <v>24869.1875</v>
      </c>
      <c r="P32" s="1">
        <f t="shared" si="8"/>
        <v>26852.23076923077</v>
      </c>
      <c r="Q32" s="1">
        <f t="shared" si="8"/>
        <v>24364.714285714286</v>
      </c>
      <c r="R32" s="12">
        <f t="shared" si="8"/>
        <v>25304.465116279069</v>
      </c>
      <c r="S32" s="12">
        <f t="shared" si="8"/>
        <v>25111.973118279569</v>
      </c>
    </row>
    <row r="33" spans="1:19" ht="15.75" thickBot="1" x14ac:dyDescent="0.3">
      <c r="A33" t="s">
        <v>14</v>
      </c>
      <c r="B33" t="s">
        <v>10</v>
      </c>
      <c r="C33" s="13">
        <f t="shared" ref="C33:S33" si="9">+C29/C4</f>
        <v>6675.3884615384613</v>
      </c>
      <c r="D33" s="13">
        <f t="shared" si="9"/>
        <v>6206.1593333333331</v>
      </c>
      <c r="E33" s="14">
        <f t="shared" si="9"/>
        <v>7280.8127777777781</v>
      </c>
      <c r="F33" s="15">
        <f t="shared" si="9"/>
        <v>6759.284130434783</v>
      </c>
      <c r="G33" s="16">
        <f t="shared" si="9"/>
        <v>5222.9976470588235</v>
      </c>
      <c r="H33" s="13">
        <f t="shared" si="9"/>
        <v>5567.4773684210531</v>
      </c>
      <c r="I33" s="13">
        <f t="shared" si="9"/>
        <v>6173.29</v>
      </c>
      <c r="J33" s="15">
        <f t="shared" si="9"/>
        <v>5660.9675925925922</v>
      </c>
      <c r="K33" s="13">
        <f t="shared" si="9"/>
        <v>10270.164999999999</v>
      </c>
      <c r="L33" s="13">
        <f t="shared" si="9"/>
        <v>10410.002666666667</v>
      </c>
      <c r="M33" s="13">
        <f t="shared" si="9"/>
        <v>8492.4214285714279</v>
      </c>
      <c r="N33" s="15">
        <f t="shared" si="9"/>
        <v>9740.1453488372099</v>
      </c>
      <c r="O33" s="13">
        <f t="shared" si="9"/>
        <v>5419.3031250000004</v>
      </c>
      <c r="P33" s="13">
        <f t="shared" si="9"/>
        <v>5059.251538461539</v>
      </c>
      <c r="Q33" s="13">
        <f t="shared" si="9"/>
        <v>5155.1057142857144</v>
      </c>
      <c r="R33" s="15">
        <f t="shared" si="9"/>
        <v>5224.4325581395342</v>
      </c>
      <c r="S33" s="15">
        <f t="shared" si="9"/>
        <v>6774.7105913978494</v>
      </c>
    </row>
    <row r="34" spans="1:19" ht="15.75" thickBot="1" x14ac:dyDescent="0.3">
      <c r="A34" t="s">
        <v>20</v>
      </c>
      <c r="B34" t="s">
        <v>6</v>
      </c>
      <c r="C34" s="30">
        <f t="shared" ref="C34:S34" si="10">+C28/C5</f>
        <v>0.81570640158701846</v>
      </c>
      <c r="D34" s="30">
        <f t="shared" si="10"/>
        <v>0.76826676296165242</v>
      </c>
      <c r="E34" s="33">
        <f t="shared" si="10"/>
        <v>0.79228250836187031</v>
      </c>
      <c r="F34" s="31">
        <f t="shared" si="10"/>
        <v>0.79127591592837188</v>
      </c>
      <c r="G34" s="36">
        <f t="shared" si="10"/>
        <v>0.91986877472918005</v>
      </c>
      <c r="H34" s="30">
        <f t="shared" si="10"/>
        <v>1.0443395832830131</v>
      </c>
      <c r="I34" s="30">
        <f t="shared" si="10"/>
        <v>1.0049817570920991</v>
      </c>
      <c r="J34" s="31">
        <f t="shared" si="10"/>
        <v>0.9912199768719917</v>
      </c>
      <c r="K34" s="30">
        <f t="shared" si="10"/>
        <v>1.0822695945685794</v>
      </c>
      <c r="L34" s="30">
        <f t="shared" si="10"/>
        <v>1.0272989090491227</v>
      </c>
      <c r="M34" s="30">
        <f t="shared" si="10"/>
        <v>0.96669465367293061</v>
      </c>
      <c r="N34" s="31">
        <f t="shared" si="10"/>
        <v>1.0243802228983343</v>
      </c>
      <c r="O34" s="30">
        <f t="shared" si="10"/>
        <v>0.88678086824549063</v>
      </c>
      <c r="P34" s="30">
        <f t="shared" si="10"/>
        <v>0.9027133975019892</v>
      </c>
      <c r="Q34" s="30">
        <f t="shared" si="10"/>
        <v>0.77620200594285849</v>
      </c>
      <c r="R34" s="31">
        <f t="shared" si="10"/>
        <v>0.85349626872862927</v>
      </c>
      <c r="S34" s="31">
        <f t="shared" si="10"/>
        <v>0.91629159490409939</v>
      </c>
    </row>
    <row r="35" spans="1:19" ht="15.75" thickBot="1" x14ac:dyDescent="0.3">
      <c r="A35" t="s">
        <v>19</v>
      </c>
      <c r="B35" t="s">
        <v>10</v>
      </c>
      <c r="C35" s="25">
        <f t="shared" ref="C35:S35" si="11">+C29/C5</f>
        <v>0.23453940789509248</v>
      </c>
      <c r="D35" s="25">
        <f t="shared" si="11"/>
        <v>0.22561234159192092</v>
      </c>
      <c r="E35" s="34">
        <f t="shared" si="11"/>
        <v>0.29010240109086161</v>
      </c>
      <c r="F35" s="26">
        <f t="shared" si="11"/>
        <v>0.25189008049411199</v>
      </c>
      <c r="G35" s="37">
        <f t="shared" si="11"/>
        <v>0.20556841517934663</v>
      </c>
      <c r="H35" s="25">
        <f t="shared" si="11"/>
        <v>0.23227518955155388</v>
      </c>
      <c r="I35" s="25">
        <f t="shared" si="11"/>
        <v>0.23074988007650185</v>
      </c>
      <c r="J35" s="26">
        <f t="shared" si="11"/>
        <v>0.22331184167176199</v>
      </c>
      <c r="K35" s="25">
        <f t="shared" si="11"/>
        <v>0.36906531308956969</v>
      </c>
      <c r="L35" s="25">
        <f t="shared" si="11"/>
        <v>0.37382493554125001</v>
      </c>
      <c r="M35" s="25">
        <f t="shared" si="11"/>
        <v>0.28851020150644507</v>
      </c>
      <c r="N35" s="26">
        <f t="shared" si="11"/>
        <v>0.34347194088847705</v>
      </c>
      <c r="O35" s="25">
        <f t="shared" si="11"/>
        <v>0.19324050415692115</v>
      </c>
      <c r="P35" s="25">
        <f t="shared" si="11"/>
        <v>0.17008099566666332</v>
      </c>
      <c r="Q35" s="25">
        <f t="shared" si="11"/>
        <v>0.16422944054887598</v>
      </c>
      <c r="R35" s="26">
        <f t="shared" si="11"/>
        <v>0.17621529141621095</v>
      </c>
      <c r="S35" s="26">
        <f t="shared" si="11"/>
        <v>0.24719723709352692</v>
      </c>
    </row>
    <row r="37" spans="1:19" ht="15.75" thickBot="1" x14ac:dyDescent="0.3">
      <c r="A37" s="22" t="s">
        <v>16</v>
      </c>
    </row>
    <row r="38" spans="1:19" ht="15.75" thickBot="1" x14ac:dyDescent="0.3">
      <c r="A38" t="s">
        <v>14</v>
      </c>
      <c r="B38" t="s">
        <v>10</v>
      </c>
      <c r="C38" s="1">
        <f t="shared" ref="C38:S38" si="12">IF(+C4&gt;0,+(C14+C23+C33),"")</f>
        <v>8155.9453846153847</v>
      </c>
      <c r="D38" s="13">
        <f t="shared" si="12"/>
        <v>7470.7693333333336</v>
      </c>
      <c r="E38" s="14">
        <f t="shared" si="12"/>
        <v>8451.7272222222218</v>
      </c>
      <c r="F38" s="15">
        <f t="shared" si="12"/>
        <v>9594.1584782608697</v>
      </c>
      <c r="G38" s="16">
        <f t="shared" si="12"/>
        <v>9204.0676470588242</v>
      </c>
      <c r="H38" s="13">
        <f t="shared" si="12"/>
        <v>8751.2521052631582</v>
      </c>
      <c r="I38" s="13">
        <f t="shared" si="12"/>
        <v>9681.5322222222221</v>
      </c>
      <c r="J38" s="15">
        <f t="shared" si="12"/>
        <v>10384.498518518518</v>
      </c>
      <c r="K38" s="13">
        <f t="shared" si="12"/>
        <v>16380.467857142856</v>
      </c>
      <c r="L38" s="13">
        <f t="shared" si="12"/>
        <v>18411.75</v>
      </c>
      <c r="M38" s="13">
        <f t="shared" si="12"/>
        <v>15318.669285714284</v>
      </c>
      <c r="N38" s="15">
        <f t="shared" si="12"/>
        <v>17888.752790697676</v>
      </c>
      <c r="O38" s="13">
        <f t="shared" si="12"/>
        <v>8085.1706250000007</v>
      </c>
      <c r="P38" s="13">
        <f t="shared" si="12"/>
        <v>8801.2038461538468</v>
      </c>
      <c r="Q38" s="13">
        <f>IF(+Q4&gt;0,+(Q14+Q23+Q33),"")</f>
        <v>10117.145</v>
      </c>
      <c r="R38" s="15">
        <f t="shared" si="12"/>
        <v>10067.696046511628</v>
      </c>
      <c r="S38" s="15">
        <f t="shared" si="12"/>
        <v>11850.653279569891</v>
      </c>
    </row>
    <row r="39" spans="1:19" ht="15.75" thickBot="1" x14ac:dyDescent="0.3">
      <c r="A39" t="s">
        <v>19</v>
      </c>
      <c r="B39" t="s">
        <v>10</v>
      </c>
      <c r="C39" s="23">
        <f t="shared" ref="C39:S39" si="13">+C16+C25+C35</f>
        <v>0.28655869427732827</v>
      </c>
      <c r="D39" s="23">
        <f t="shared" si="13"/>
        <v>0.27158467455606961</v>
      </c>
      <c r="E39" s="35">
        <f t="shared" si="13"/>
        <v>0.33675723238141198</v>
      </c>
      <c r="F39" s="24">
        <f t="shared" si="13"/>
        <v>0.35753391997252049</v>
      </c>
      <c r="G39" s="38">
        <f t="shared" si="13"/>
        <v>0.36225664403177377</v>
      </c>
      <c r="H39" s="23">
        <f t="shared" si="13"/>
        <v>0.36510229086749069</v>
      </c>
      <c r="I39" s="23">
        <f t="shared" si="13"/>
        <v>0.36188359841098772</v>
      </c>
      <c r="J39" s="24">
        <f t="shared" si="13"/>
        <v>0.40964401422160668</v>
      </c>
      <c r="K39" s="23">
        <f t="shared" si="13"/>
        <v>0.58864317158001467</v>
      </c>
      <c r="L39" s="23">
        <f t="shared" si="13"/>
        <v>0.66116901958061713</v>
      </c>
      <c r="M39" s="23">
        <f t="shared" si="13"/>
        <v>0.52041604383444628</v>
      </c>
      <c r="N39" s="24">
        <f t="shared" si="13"/>
        <v>0.63082063162728907</v>
      </c>
      <c r="O39" s="23">
        <f t="shared" si="13"/>
        <v>0.28829951226795958</v>
      </c>
      <c r="P39" s="23">
        <f t="shared" si="13"/>
        <v>0.29587726600253372</v>
      </c>
      <c r="Q39" s="23">
        <f t="shared" si="13"/>
        <v>0.32230824262196106</v>
      </c>
      <c r="R39" s="24">
        <f t="shared" si="13"/>
        <v>0.33957410168151297</v>
      </c>
      <c r="S39" s="24">
        <f t="shared" si="13"/>
        <v>0.43240943047555008</v>
      </c>
    </row>
    <row r="44" spans="1:19" x14ac:dyDescent="0.25">
      <c r="A44" t="s">
        <v>8</v>
      </c>
      <c r="C44" s="2">
        <f t="shared" ref="C44:L44" si="14">SUM(C45:C51)</f>
        <v>301813</v>
      </c>
      <c r="D44" s="2">
        <f t="shared" si="14"/>
        <v>317003</v>
      </c>
      <c r="E44" s="2">
        <f t="shared" si="14"/>
        <v>357916</v>
      </c>
      <c r="F44" s="2">
        <f t="shared" si="14"/>
        <v>0</v>
      </c>
      <c r="G44" s="2">
        <f t="shared" si="14"/>
        <v>397318</v>
      </c>
      <c r="H44" s="2">
        <f t="shared" si="14"/>
        <v>475610</v>
      </c>
      <c r="I44" s="2">
        <f t="shared" si="14"/>
        <v>483956</v>
      </c>
      <c r="J44" s="2">
        <f t="shared" si="14"/>
        <v>0</v>
      </c>
      <c r="K44" s="2">
        <f t="shared" si="14"/>
        <v>421636</v>
      </c>
      <c r="L44" s="2">
        <f t="shared" si="14"/>
        <v>429112</v>
      </c>
      <c r="M44" s="2">
        <f>SUM(M45:M51)</f>
        <v>398371</v>
      </c>
      <c r="N44" s="2">
        <f t="shared" ref="N44:R44" si="15">SUM(N45:N51)</f>
        <v>0</v>
      </c>
      <c r="O44" s="2">
        <f t="shared" si="15"/>
        <v>397907</v>
      </c>
      <c r="P44" s="2">
        <f t="shared" si="15"/>
        <v>349079</v>
      </c>
      <c r="Q44" s="2">
        <f t="shared" si="15"/>
        <v>341106</v>
      </c>
      <c r="R44" s="2">
        <f t="shared" si="15"/>
        <v>0</v>
      </c>
      <c r="S44" s="5">
        <f>SUM(C44:R44)</f>
        <v>4670827</v>
      </c>
    </row>
    <row r="45" spans="1:19" x14ac:dyDescent="0.25">
      <c r="C45" s="5">
        <v>108504</v>
      </c>
      <c r="D45" s="5">
        <v>120449</v>
      </c>
      <c r="E45" s="5">
        <v>130980</v>
      </c>
      <c r="F45" s="5"/>
      <c r="G45" s="5">
        <f>148868+111259+137191</f>
        <v>397318</v>
      </c>
      <c r="H45" s="5">
        <v>177512</v>
      </c>
      <c r="I45" s="5">
        <v>181564</v>
      </c>
      <c r="J45" s="5"/>
      <c r="K45" s="5">
        <v>143045</v>
      </c>
      <c r="L45" s="5">
        <v>154712</v>
      </c>
      <c r="M45" s="5">
        <v>145042</v>
      </c>
      <c r="N45" s="5"/>
      <c r="O45" s="5">
        <v>140334</v>
      </c>
      <c r="P45" s="5">
        <v>124376</v>
      </c>
      <c r="Q45" s="5">
        <v>111406</v>
      </c>
    </row>
    <row r="46" spans="1:19" x14ac:dyDescent="0.25">
      <c r="C46" s="5">
        <v>80769</v>
      </c>
      <c r="D46" s="5">
        <v>91232</v>
      </c>
      <c r="E46" s="5">
        <v>101880</v>
      </c>
      <c r="F46" s="5"/>
      <c r="G46" s="5"/>
      <c r="H46" s="5">
        <v>129323</v>
      </c>
      <c r="I46" s="5">
        <v>137169</v>
      </c>
      <c r="J46" s="5"/>
      <c r="K46" s="5">
        <v>105524</v>
      </c>
      <c r="L46" s="5">
        <v>114243</v>
      </c>
      <c r="M46" s="5">
        <v>106683</v>
      </c>
      <c r="N46" s="5"/>
      <c r="O46" s="5">
        <v>103658</v>
      </c>
      <c r="P46" s="5">
        <v>92832</v>
      </c>
      <c r="Q46" s="5">
        <v>84967</v>
      </c>
    </row>
    <row r="47" spans="1:19" x14ac:dyDescent="0.25">
      <c r="C47" s="5">
        <v>112540</v>
      </c>
      <c r="D47" s="5">
        <v>105322</v>
      </c>
      <c r="E47" s="5">
        <v>110203</v>
      </c>
      <c r="F47" s="5"/>
      <c r="G47" s="5"/>
      <c r="H47" s="5">
        <v>168775</v>
      </c>
      <c r="I47" s="5">
        <v>165223</v>
      </c>
      <c r="J47" s="5"/>
      <c r="K47" s="5">
        <v>173067</v>
      </c>
      <c r="L47" s="5">
        <v>160157</v>
      </c>
      <c r="M47" s="5">
        <v>146646</v>
      </c>
      <c r="N47" s="5"/>
      <c r="O47" s="5">
        <v>153915</v>
      </c>
      <c r="P47" s="5">
        <v>131871</v>
      </c>
      <c r="Q47" s="5">
        <v>144733</v>
      </c>
    </row>
    <row r="48" spans="1:19" x14ac:dyDescent="0.25">
      <c r="E48">
        <f>6696+5084+3073</f>
        <v>14853</v>
      </c>
      <c r="H48" s="5"/>
      <c r="I48" s="5"/>
      <c r="L48" s="5"/>
      <c r="M48" s="5"/>
      <c r="O48" s="5"/>
    </row>
    <row r="49" spans="8:21" x14ac:dyDescent="0.25">
      <c r="H49" s="5"/>
      <c r="I49" s="5"/>
      <c r="L49" s="5"/>
      <c r="M49" s="5"/>
      <c r="O49" s="5"/>
    </row>
    <row r="50" spans="8:21" x14ac:dyDescent="0.25">
      <c r="L50" s="5"/>
      <c r="M50" s="5"/>
      <c r="O50" s="5"/>
    </row>
    <row r="51" spans="8:21" x14ac:dyDescent="0.25">
      <c r="P51" s="5"/>
      <c r="U51" s="5"/>
    </row>
  </sheetData>
  <pageMargins left="0.27559055118110237" right="0.27559055118110237" top="0.19685039370078741" bottom="0.31496062992125984" header="0.19685039370078741" footer="0.23622047244094491"/>
  <pageSetup paperSize="9" scale="7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37F3-F56E-42A3-93E0-C0809F70CCA4}">
  <sheetPr>
    <pageSetUpPr fitToPage="1"/>
  </sheetPr>
  <dimension ref="A1:U51"/>
  <sheetViews>
    <sheetView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O5" sqref="O5"/>
    </sheetView>
  </sheetViews>
  <sheetFormatPr baseColWidth="10" defaultRowHeight="15" x14ac:dyDescent="0.25"/>
  <cols>
    <col min="1" max="1" width="15.7109375" customWidth="1"/>
    <col min="2" max="2" width="5" bestFit="1" customWidth="1"/>
    <col min="3" max="3" width="12" bestFit="1" customWidth="1"/>
    <col min="4" max="5" width="10.140625" bestFit="1" customWidth="1"/>
    <col min="6" max="6" width="11.7109375" bestFit="1" customWidth="1"/>
    <col min="7" max="9" width="10.140625" bestFit="1" customWidth="1"/>
    <col min="10" max="10" width="11.7109375" bestFit="1" customWidth="1"/>
    <col min="11" max="13" width="10.140625" bestFit="1" customWidth="1"/>
    <col min="14" max="14" width="11.7109375" bestFit="1" customWidth="1"/>
    <col min="15" max="17" width="10.140625" bestFit="1" customWidth="1"/>
    <col min="18" max="19" width="11.7109375" bestFit="1" customWidth="1"/>
  </cols>
  <sheetData>
    <row r="1" spans="1:21" ht="24" thickBot="1" x14ac:dyDescent="0.4">
      <c r="A1" s="44" t="s">
        <v>5</v>
      </c>
      <c r="B1" s="3"/>
    </row>
    <row r="2" spans="1:21" ht="27" thickBot="1" x14ac:dyDescent="0.45">
      <c r="A2" s="32">
        <v>2023</v>
      </c>
      <c r="C2" s="40">
        <v>44927</v>
      </c>
      <c r="D2" s="40">
        <v>44958</v>
      </c>
      <c r="E2" s="40">
        <v>44986</v>
      </c>
      <c r="F2" s="42" t="s">
        <v>0</v>
      </c>
      <c r="G2" s="43">
        <v>45017</v>
      </c>
      <c r="H2" s="43">
        <v>45047</v>
      </c>
      <c r="I2" s="43">
        <v>45078</v>
      </c>
      <c r="J2" s="42" t="s">
        <v>2</v>
      </c>
      <c r="K2" s="43">
        <v>45108</v>
      </c>
      <c r="L2" s="43">
        <v>45139</v>
      </c>
      <c r="M2" s="43">
        <v>45170</v>
      </c>
      <c r="N2" s="42" t="s">
        <v>3</v>
      </c>
      <c r="O2" s="43">
        <v>45200</v>
      </c>
      <c r="P2" s="43">
        <v>45231</v>
      </c>
      <c r="Q2" s="43">
        <v>45261</v>
      </c>
      <c r="R2" s="42" t="s">
        <v>3</v>
      </c>
      <c r="S2" s="42" t="s">
        <v>7</v>
      </c>
    </row>
    <row r="3" spans="1:21" ht="15.75" thickBot="1" x14ac:dyDescent="0.3">
      <c r="F3" s="39"/>
      <c r="J3" s="39"/>
      <c r="N3" s="39"/>
      <c r="R3" s="39"/>
      <c r="S3" s="39"/>
    </row>
    <row r="4" spans="1:21" ht="15.75" thickBot="1" x14ac:dyDescent="0.3">
      <c r="A4" t="s">
        <v>9</v>
      </c>
      <c r="C4" s="6">
        <v>14</v>
      </c>
      <c r="D4" s="6">
        <v>13</v>
      </c>
      <c r="E4" s="7">
        <v>11</v>
      </c>
      <c r="F4" s="9">
        <f>SUM(C4:E4)</f>
        <v>38</v>
      </c>
      <c r="G4" s="8">
        <v>11</v>
      </c>
      <c r="H4" s="6">
        <v>10</v>
      </c>
      <c r="I4" s="7">
        <v>9</v>
      </c>
      <c r="J4" s="9">
        <f>SUM(G4:I4)</f>
        <v>30</v>
      </c>
      <c r="K4" s="8">
        <v>10</v>
      </c>
      <c r="L4" s="6">
        <v>9</v>
      </c>
      <c r="M4" s="7">
        <v>10</v>
      </c>
      <c r="N4" s="9">
        <f>SUM(K4:M4)</f>
        <v>29</v>
      </c>
      <c r="O4" s="7">
        <v>9</v>
      </c>
      <c r="P4" s="6">
        <v>9</v>
      </c>
      <c r="Q4" s="7">
        <v>8</v>
      </c>
      <c r="R4" s="9">
        <f>SUM(O4:Q4)</f>
        <v>26</v>
      </c>
      <c r="S4" s="9">
        <f>F4+J4+N4+R4</f>
        <v>123</v>
      </c>
    </row>
    <row r="5" spans="1:21" ht="15.75" thickBot="1" x14ac:dyDescent="0.3">
      <c r="A5" t="s">
        <v>17</v>
      </c>
      <c r="C5" s="13">
        <v>431638.41</v>
      </c>
      <c r="D5" s="13">
        <v>327715.89</v>
      </c>
      <c r="E5" s="14">
        <v>368407.31</v>
      </c>
      <c r="F5" s="15">
        <f>SUM(C5:E5)</f>
        <v>1127761.6100000001</v>
      </c>
      <c r="G5" s="16">
        <v>362022.31</v>
      </c>
      <c r="H5" s="13">
        <v>327618.05</v>
      </c>
      <c r="I5" s="13">
        <f>29501+3887+30620+27727+35123+28710+32826+29338+30564+26100</f>
        <v>274396</v>
      </c>
      <c r="J5" s="15">
        <f>SUM(G5:I5)</f>
        <v>964036.36</v>
      </c>
      <c r="K5" s="13">
        <v>261856.39</v>
      </c>
      <c r="L5" s="13">
        <v>171190.53</v>
      </c>
      <c r="M5" s="13">
        <v>172174</v>
      </c>
      <c r="N5" s="15">
        <f>SUM(K5:M5)</f>
        <v>605220.92000000004</v>
      </c>
      <c r="O5" s="13">
        <v>133113</v>
      </c>
      <c r="P5" s="13">
        <v>157404.84</v>
      </c>
      <c r="Q5" s="13">
        <v>194985</v>
      </c>
      <c r="R5" s="15">
        <f>SUM(O5:Q5)</f>
        <v>485502.83999999997</v>
      </c>
      <c r="S5" s="15">
        <f>F5+J5+N5+R5</f>
        <v>3182521.73</v>
      </c>
    </row>
    <row r="6" spans="1:21" x14ac:dyDescent="0.25">
      <c r="F6" s="39"/>
      <c r="J6" s="39"/>
      <c r="N6" s="39"/>
      <c r="R6" s="39"/>
      <c r="S6" s="39"/>
    </row>
    <row r="7" spans="1:21" x14ac:dyDescent="0.25">
      <c r="A7" s="22" t="s">
        <v>11</v>
      </c>
      <c r="B7" s="22"/>
      <c r="D7" s="29"/>
      <c r="F7" s="39"/>
      <c r="J7" s="39"/>
      <c r="N7" s="39"/>
      <c r="R7" s="39"/>
      <c r="S7" s="39"/>
    </row>
    <row r="8" spans="1:21" ht="15.75" thickBot="1" x14ac:dyDescent="0.3">
      <c r="F8" s="39"/>
      <c r="J8" s="39"/>
      <c r="L8" s="5"/>
      <c r="N8" s="39"/>
      <c r="R8" s="39"/>
      <c r="S8" s="39"/>
    </row>
    <row r="9" spans="1:21" ht="15.75" thickBot="1" x14ac:dyDescent="0.3">
      <c r="A9" t="s">
        <v>6</v>
      </c>
      <c r="C9" s="1">
        <v>683770</v>
      </c>
      <c r="D9" s="1">
        <v>594242</v>
      </c>
      <c r="E9" s="10">
        <v>582733</v>
      </c>
      <c r="F9" s="12">
        <f>SUM(C9:E9)</f>
        <v>1860745</v>
      </c>
      <c r="G9" s="11">
        <v>479968</v>
      </c>
      <c r="H9" s="1">
        <v>466575</v>
      </c>
      <c r="I9" s="10">
        <v>410661</v>
      </c>
      <c r="J9" s="12">
        <f>SUM(G9:I9)</f>
        <v>1357204</v>
      </c>
      <c r="K9" s="11">
        <v>389230</v>
      </c>
      <c r="L9" s="1">
        <v>340652</v>
      </c>
      <c r="M9" s="10">
        <v>334192</v>
      </c>
      <c r="N9" s="12">
        <f>SUM(K9:M9)</f>
        <v>1064074</v>
      </c>
      <c r="O9" s="10">
        <v>382085</v>
      </c>
      <c r="P9" s="1">
        <v>467990</v>
      </c>
      <c r="Q9" s="10">
        <v>501150</v>
      </c>
      <c r="R9" s="12">
        <f>SUM(O9:Q9)</f>
        <v>1351225</v>
      </c>
      <c r="S9" s="12">
        <f>F9+J9+N9+R9</f>
        <v>5633248</v>
      </c>
      <c r="T9" s="59">
        <v>465000</v>
      </c>
      <c r="U9" t="s">
        <v>25</v>
      </c>
    </row>
    <row r="10" spans="1:21" ht="15.75" thickBot="1" x14ac:dyDescent="0.3">
      <c r="A10" t="s">
        <v>15</v>
      </c>
      <c r="C10" s="13">
        <v>41168.339999999997</v>
      </c>
      <c r="D10" s="13">
        <v>29797.38</v>
      </c>
      <c r="E10" s="14">
        <v>24273.040000000001</v>
      </c>
      <c r="F10" s="15">
        <f>SUM(C10:E10)</f>
        <v>95238.760000000009</v>
      </c>
      <c r="G10" s="16">
        <v>28428.13</v>
      </c>
      <c r="H10" s="13">
        <v>26487.49</v>
      </c>
      <c r="I10" s="14">
        <v>24142.1</v>
      </c>
      <c r="J10" s="15">
        <f>SUM(G10:I10)</f>
        <v>79057.72</v>
      </c>
      <c r="K10" s="16">
        <v>22869.19</v>
      </c>
      <c r="L10" s="13">
        <v>21455</v>
      </c>
      <c r="M10" s="14">
        <v>21129.15</v>
      </c>
      <c r="N10" s="15">
        <f>SUM(K10:M10)</f>
        <v>65453.340000000004</v>
      </c>
      <c r="O10" s="14">
        <v>23477.05</v>
      </c>
      <c r="P10" s="13">
        <v>26808.06</v>
      </c>
      <c r="Q10" s="14">
        <v>27968.89</v>
      </c>
      <c r="R10" s="15">
        <f>SUM(O10:Q10)</f>
        <v>78254</v>
      </c>
      <c r="S10" s="15">
        <f>F10+J10+N10+R10</f>
        <v>318003.82</v>
      </c>
      <c r="T10" s="58">
        <v>25000</v>
      </c>
      <c r="U10" t="s">
        <v>25</v>
      </c>
    </row>
    <row r="11" spans="1:21" ht="15.75" thickBot="1" x14ac:dyDescent="0.3">
      <c r="A11" t="s">
        <v>23</v>
      </c>
      <c r="C11" s="13">
        <f>+C10/C9</f>
        <v>6.020787691767699E-2</v>
      </c>
      <c r="D11" s="13">
        <f t="shared" ref="D11:S11" si="0">+D10/D9</f>
        <v>5.0143510556305344E-2</v>
      </c>
      <c r="E11" s="14">
        <f t="shared" si="0"/>
        <v>4.1653793418255015E-2</v>
      </c>
      <c r="F11" s="15">
        <f t="shared" si="0"/>
        <v>5.1183133637333442E-2</v>
      </c>
      <c r="G11" s="16">
        <f t="shared" si="0"/>
        <v>5.9229219447963201E-2</v>
      </c>
      <c r="H11" s="13">
        <f t="shared" si="0"/>
        <v>5.6770058404329422E-2</v>
      </c>
      <c r="I11" s="13">
        <f t="shared" si="0"/>
        <v>5.8788392372297341E-2</v>
      </c>
      <c r="J11" s="15">
        <f t="shared" si="0"/>
        <v>5.8250432506830221E-2</v>
      </c>
      <c r="K11" s="13">
        <f t="shared" si="0"/>
        <v>5.8754952084885542E-2</v>
      </c>
      <c r="L11" s="13">
        <f t="shared" si="0"/>
        <v>6.2982163615654688E-2</v>
      </c>
      <c r="M11" s="13">
        <f t="shared" si="0"/>
        <v>6.3224583472973619E-2</v>
      </c>
      <c r="N11" s="15">
        <f t="shared" si="0"/>
        <v>6.1512018900941101E-2</v>
      </c>
      <c r="O11" s="13">
        <f t="shared" si="0"/>
        <v>6.1444573851368152E-2</v>
      </c>
      <c r="P11" s="13">
        <f t="shared" si="0"/>
        <v>5.72834034915276E-2</v>
      </c>
      <c r="Q11" s="13">
        <f t="shared" si="0"/>
        <v>5.5809418337823005E-2</v>
      </c>
      <c r="R11" s="15">
        <f t="shared" ref="R11" si="1">+R10/R9</f>
        <v>5.7913374900553205E-2</v>
      </c>
      <c r="S11" s="15">
        <f t="shared" si="0"/>
        <v>5.645123736785599E-2</v>
      </c>
    </row>
    <row r="12" spans="1:21" ht="15.75" thickBot="1" x14ac:dyDescent="0.3">
      <c r="F12" s="39"/>
      <c r="J12" s="39"/>
      <c r="K12" s="27"/>
      <c r="N12" s="39"/>
      <c r="R12" s="39"/>
      <c r="S12" s="39"/>
    </row>
    <row r="13" spans="1:21" ht="15.75" thickBot="1" x14ac:dyDescent="0.3">
      <c r="A13" t="s">
        <v>14</v>
      </c>
      <c r="B13" t="s">
        <v>6</v>
      </c>
      <c r="C13" s="1">
        <f t="shared" ref="C13:S13" si="2">+C9/C4</f>
        <v>48840.714285714283</v>
      </c>
      <c r="D13" s="1">
        <f t="shared" si="2"/>
        <v>45710.923076923078</v>
      </c>
      <c r="E13" s="10">
        <f t="shared" si="2"/>
        <v>52975.727272727272</v>
      </c>
      <c r="F13" s="12">
        <f t="shared" si="2"/>
        <v>48966.973684210527</v>
      </c>
      <c r="G13" s="11">
        <f t="shared" si="2"/>
        <v>43633.454545454544</v>
      </c>
      <c r="H13" s="1">
        <f t="shared" si="2"/>
        <v>46657.5</v>
      </c>
      <c r="I13" s="1">
        <f t="shared" si="2"/>
        <v>45629</v>
      </c>
      <c r="J13" s="12">
        <f t="shared" si="2"/>
        <v>45240.133333333331</v>
      </c>
      <c r="K13" s="1">
        <f t="shared" si="2"/>
        <v>38923</v>
      </c>
      <c r="L13" s="1">
        <f t="shared" si="2"/>
        <v>37850.222222222219</v>
      </c>
      <c r="M13" s="1">
        <f t="shared" si="2"/>
        <v>33419.199999999997</v>
      </c>
      <c r="N13" s="12">
        <f t="shared" si="2"/>
        <v>36692.206896551725</v>
      </c>
      <c r="O13" s="1">
        <f t="shared" ref="O13:P13" si="3">+O9/O4</f>
        <v>42453.888888888891</v>
      </c>
      <c r="P13" s="1">
        <f t="shared" si="3"/>
        <v>51998.888888888891</v>
      </c>
      <c r="Q13" s="1">
        <f t="shared" ref="Q13" si="4">+Q9/Q4</f>
        <v>62643.75</v>
      </c>
      <c r="R13" s="12">
        <f t="shared" ref="R13" si="5">+R9/R4</f>
        <v>51970.192307692305</v>
      </c>
      <c r="S13" s="12">
        <f t="shared" si="2"/>
        <v>45798.764227642278</v>
      </c>
    </row>
    <row r="14" spans="1:21" ht="15.75" thickBot="1" x14ac:dyDescent="0.3">
      <c r="A14" t="s">
        <v>14</v>
      </c>
      <c r="B14" t="s">
        <v>10</v>
      </c>
      <c r="C14" s="13">
        <f t="shared" ref="C14:S14" si="6">+C10/C4</f>
        <v>2940.5957142857142</v>
      </c>
      <c r="D14" s="13">
        <f t="shared" si="6"/>
        <v>2292.106153846154</v>
      </c>
      <c r="E14" s="14">
        <f t="shared" si="6"/>
        <v>2206.64</v>
      </c>
      <c r="F14" s="15">
        <f t="shared" si="6"/>
        <v>2506.2831578947371</v>
      </c>
      <c r="G14" s="16">
        <f t="shared" si="6"/>
        <v>2584.3754545454544</v>
      </c>
      <c r="H14" s="13">
        <f t="shared" si="6"/>
        <v>2648.7490000000003</v>
      </c>
      <c r="I14" s="13">
        <f t="shared" si="6"/>
        <v>2682.4555555555553</v>
      </c>
      <c r="J14" s="15">
        <f t="shared" si="6"/>
        <v>2635.2573333333335</v>
      </c>
      <c r="K14" s="13">
        <f t="shared" si="6"/>
        <v>2286.9189999999999</v>
      </c>
      <c r="L14" s="13">
        <f t="shared" si="6"/>
        <v>2383.8888888888887</v>
      </c>
      <c r="M14" s="13">
        <f t="shared" si="6"/>
        <v>2112.915</v>
      </c>
      <c r="N14" s="15">
        <f t="shared" si="6"/>
        <v>2257.0117241379312</v>
      </c>
      <c r="O14" s="13">
        <f t="shared" ref="O14:P14" si="7">+O10/O4</f>
        <v>2608.5611111111111</v>
      </c>
      <c r="P14" s="13">
        <f t="shared" si="7"/>
        <v>2978.6733333333336</v>
      </c>
      <c r="Q14" s="13">
        <f t="shared" ref="Q14" si="8">+Q10/Q4</f>
        <v>3496.1112499999999</v>
      </c>
      <c r="R14" s="15">
        <f t="shared" ref="R14" si="9">+R10/R4</f>
        <v>3009.7692307692309</v>
      </c>
      <c r="S14" s="15">
        <f t="shared" si="6"/>
        <v>2585.3969105691058</v>
      </c>
    </row>
    <row r="15" spans="1:21" ht="15.75" thickBot="1" x14ac:dyDescent="0.3">
      <c r="A15" t="s">
        <v>20</v>
      </c>
      <c r="B15" t="s">
        <v>6</v>
      </c>
      <c r="C15" s="30">
        <f>+C9/C5</f>
        <v>1.5841268621112752</v>
      </c>
      <c r="D15" s="30">
        <f t="shared" ref="D15:N15" si="10">+D9/D5</f>
        <v>1.8132840613862207</v>
      </c>
      <c r="E15" s="33">
        <f t="shared" si="10"/>
        <v>1.5817628591571649</v>
      </c>
      <c r="F15" s="31">
        <f t="shared" si="10"/>
        <v>1.649945328428053</v>
      </c>
      <c r="G15" s="36">
        <f t="shared" si="10"/>
        <v>1.3257967444050616</v>
      </c>
      <c r="H15" s="30">
        <f t="shared" si="10"/>
        <v>1.4241431447382096</v>
      </c>
      <c r="I15" s="30">
        <f t="shared" si="10"/>
        <v>1.4965998046618756</v>
      </c>
      <c r="J15" s="31">
        <f t="shared" si="10"/>
        <v>1.4078348663114739</v>
      </c>
      <c r="K15" s="30">
        <f t="shared" si="10"/>
        <v>1.4864254410595059</v>
      </c>
      <c r="L15" s="30">
        <f t="shared" si="10"/>
        <v>1.9898997917700239</v>
      </c>
      <c r="M15" s="30">
        <f t="shared" si="10"/>
        <v>1.9410131611044641</v>
      </c>
      <c r="N15" s="31">
        <f t="shared" si="10"/>
        <v>1.75815799625697</v>
      </c>
      <c r="O15" s="30">
        <f t="shared" ref="O15:P15" si="11">+O9/O5</f>
        <v>2.8703808042790713</v>
      </c>
      <c r="P15" s="30">
        <f t="shared" si="11"/>
        <v>2.973161435188397</v>
      </c>
      <c r="Q15" s="30">
        <f t="shared" ref="Q15" si="12">+Q9/Q5</f>
        <v>2.5701977075159625</v>
      </c>
      <c r="R15" s="31">
        <f t="shared" ref="R15" si="13">+R9/R5</f>
        <v>2.7831454085829859</v>
      </c>
      <c r="S15" s="31">
        <f>+S9/S5</f>
        <v>1.770057984804396</v>
      </c>
    </row>
    <row r="16" spans="1:21" ht="15.75" thickBot="1" x14ac:dyDescent="0.3">
      <c r="A16" t="s">
        <v>19</v>
      </c>
      <c r="B16" t="s">
        <v>10</v>
      </c>
      <c r="C16" s="25">
        <f t="shared" ref="C16:S16" si="14">+C10/C5</f>
        <v>9.5376915135981524E-2</v>
      </c>
      <c r="D16" s="25">
        <f t="shared" si="14"/>
        <v>9.0924428473700192E-2</v>
      </c>
      <c r="E16" s="34">
        <f t="shared" si="14"/>
        <v>6.5886423372000957E-2</v>
      </c>
      <c r="F16" s="26">
        <f t="shared" si="14"/>
        <v>8.444937223922705E-2</v>
      </c>
      <c r="G16" s="37">
        <f t="shared" si="14"/>
        <v>7.8525906317762573E-2</v>
      </c>
      <c r="H16" s="25">
        <f t="shared" si="14"/>
        <v>8.0848689502913532E-2</v>
      </c>
      <c r="I16" s="25">
        <f t="shared" si="14"/>
        <v>8.798269654076589E-2</v>
      </c>
      <c r="J16" s="26">
        <f t="shared" si="14"/>
        <v>8.2006989860838861E-2</v>
      </c>
      <c r="K16" s="25">
        <f t="shared" si="14"/>
        <v>8.7334855567206118E-2</v>
      </c>
      <c r="L16" s="25">
        <f t="shared" si="14"/>
        <v>0.12532819426401681</v>
      </c>
      <c r="M16" s="25">
        <f t="shared" si="14"/>
        <v>0.1227197486263896</v>
      </c>
      <c r="N16" s="26">
        <f t="shared" si="14"/>
        <v>0.10814784789659948</v>
      </c>
      <c r="O16" s="25">
        <f t="shared" ref="O16:P16" si="15">+O10/O5</f>
        <v>0.1763693253100749</v>
      </c>
      <c r="P16" s="25">
        <f t="shared" si="15"/>
        <v>0.17031280613734623</v>
      </c>
      <c r="Q16" s="25">
        <f t="shared" ref="Q16" si="16">+Q10/Q5</f>
        <v>0.14344123906967202</v>
      </c>
      <c r="R16" s="26">
        <f t="shared" ref="R16" si="17">+R10/R5</f>
        <v>0.16118134345001978</v>
      </c>
      <c r="S16" s="26">
        <f t="shared" si="14"/>
        <v>9.9921963455061782E-2</v>
      </c>
    </row>
    <row r="18" spans="1:21" ht="15.75" thickBot="1" x14ac:dyDescent="0.3">
      <c r="A18" s="22" t="s">
        <v>12</v>
      </c>
      <c r="B18" s="22"/>
      <c r="G18">
        <f>+J19/J5*G5</f>
        <v>9814.0396380277616</v>
      </c>
      <c r="H18">
        <f>+J19/J5*H5</f>
        <v>8881.3767550219782</v>
      </c>
      <c r="I18">
        <f>+J19/J5*I5</f>
        <v>7438.5836069502611</v>
      </c>
      <c r="K18">
        <f>+N19/N5*K5</f>
        <v>9280.1777392460262</v>
      </c>
      <c r="L18">
        <f>+N19/N5*L5</f>
        <v>6066.9840658680469</v>
      </c>
      <c r="M18">
        <f>+N19/N5*M5</f>
        <v>6101.8381948859269</v>
      </c>
      <c r="O18">
        <f>+R19/R5*O5</f>
        <v>5450.8837744388893</v>
      </c>
      <c r="P18">
        <f>+R19/R5*P5</f>
        <v>6445.6175458005564</v>
      </c>
      <c r="Q18">
        <f>19881-O18-P18</f>
        <v>7984.4986797605543</v>
      </c>
    </row>
    <row r="19" spans="1:21" ht="15.75" thickBot="1" x14ac:dyDescent="0.3">
      <c r="A19" t="s">
        <v>1</v>
      </c>
      <c r="C19" s="45"/>
      <c r="D19" s="45"/>
      <c r="E19" s="46"/>
      <c r="F19" s="12">
        <v>27333</v>
      </c>
      <c r="G19" s="51"/>
      <c r="H19" s="45"/>
      <c r="I19" s="46"/>
      <c r="J19" s="12">
        <v>26134</v>
      </c>
      <c r="K19" s="51"/>
      <c r="L19" s="45"/>
      <c r="M19" s="46"/>
      <c r="N19" s="12">
        <v>21449</v>
      </c>
      <c r="O19" s="46"/>
      <c r="P19" s="45"/>
      <c r="Q19" s="46"/>
      <c r="R19" s="12">
        <v>19881</v>
      </c>
      <c r="S19" s="12">
        <f>F19+J19+N19+R19</f>
        <v>94797</v>
      </c>
    </row>
    <row r="20" spans="1:21" ht="15.75" thickBot="1" x14ac:dyDescent="0.3">
      <c r="A20" t="s">
        <v>15</v>
      </c>
      <c r="C20" s="47"/>
      <c r="D20" s="47"/>
      <c r="E20" s="48"/>
      <c r="F20" s="15">
        <v>56220.61</v>
      </c>
      <c r="G20" s="52"/>
      <c r="H20" s="47"/>
      <c r="I20" s="48"/>
      <c r="J20" s="15">
        <v>54350.17</v>
      </c>
      <c r="K20" s="52"/>
      <c r="L20" s="47"/>
      <c r="M20" s="48"/>
      <c r="N20" s="15">
        <v>33268.44</v>
      </c>
      <c r="O20" s="48"/>
      <c r="P20" s="47"/>
      <c r="Q20" s="48"/>
      <c r="R20" s="15">
        <f>12842.65+17979.71</f>
        <v>30822.36</v>
      </c>
      <c r="S20" s="15">
        <f>F20+J20+N20+R20</f>
        <v>174661.58000000002</v>
      </c>
    </row>
    <row r="21" spans="1:21" ht="15.75" thickBot="1" x14ac:dyDescent="0.3">
      <c r="C21" s="49"/>
      <c r="D21" s="49"/>
      <c r="E21" s="49"/>
      <c r="F21" s="27"/>
      <c r="G21" s="49"/>
      <c r="H21" s="49"/>
      <c r="I21" s="49"/>
      <c r="J21" s="27"/>
      <c r="K21" s="49"/>
      <c r="L21" s="49"/>
      <c r="M21" s="49"/>
      <c r="N21" s="27"/>
      <c r="O21" s="49"/>
      <c r="P21" s="49"/>
      <c r="Q21" s="49"/>
      <c r="R21" s="27"/>
      <c r="S21" s="27"/>
      <c r="T21" s="27"/>
      <c r="U21" s="27"/>
    </row>
    <row r="22" spans="1:21" ht="15.75" thickBot="1" x14ac:dyDescent="0.3">
      <c r="A22" t="s">
        <v>14</v>
      </c>
      <c r="B22" t="s">
        <v>1</v>
      </c>
      <c r="C22" s="45">
        <f>+C19/C4</f>
        <v>0</v>
      </c>
      <c r="D22" s="45">
        <f>+D19/D4</f>
        <v>0</v>
      </c>
      <c r="E22" s="45">
        <f>+E19/E4</f>
        <v>0</v>
      </c>
      <c r="F22" s="15">
        <f>+F19/F4</f>
        <v>719.28947368421052</v>
      </c>
      <c r="G22" s="51"/>
      <c r="H22" s="45"/>
      <c r="I22" s="46"/>
      <c r="J22" s="15">
        <f>+J19/J4</f>
        <v>871.13333333333333</v>
      </c>
      <c r="K22" s="51"/>
      <c r="L22" s="45"/>
      <c r="M22" s="46"/>
      <c r="N22" s="15">
        <f>+N19/N4</f>
        <v>739.62068965517244</v>
      </c>
      <c r="O22" s="46"/>
      <c r="P22" s="45"/>
      <c r="Q22" s="46"/>
      <c r="R22" s="15">
        <f>+R19/R4</f>
        <v>764.65384615384619</v>
      </c>
      <c r="S22" s="15">
        <f>+S19/S4</f>
        <v>770.70731707317077</v>
      </c>
    </row>
    <row r="23" spans="1:21" ht="15.75" thickBot="1" x14ac:dyDescent="0.3">
      <c r="A23" t="s">
        <v>14</v>
      </c>
      <c r="B23" t="s">
        <v>10</v>
      </c>
      <c r="C23" s="47">
        <f>+C20/C4</f>
        <v>0</v>
      </c>
      <c r="D23" s="47">
        <f>+D20/D4</f>
        <v>0</v>
      </c>
      <c r="E23" s="47">
        <f>+E20/E4</f>
        <v>0</v>
      </c>
      <c r="F23" s="15">
        <f>+F20/F4</f>
        <v>1479.4897368421052</v>
      </c>
      <c r="G23" s="52"/>
      <c r="H23" s="47"/>
      <c r="I23" s="48"/>
      <c r="J23" s="15">
        <f>+J20/J4</f>
        <v>1811.6723333333332</v>
      </c>
      <c r="K23" s="52"/>
      <c r="L23" s="47"/>
      <c r="M23" s="48"/>
      <c r="N23" s="15">
        <f>+N20/N4</f>
        <v>1147.1875862068966</v>
      </c>
      <c r="O23" s="48"/>
      <c r="P23" s="47"/>
      <c r="Q23" s="48"/>
      <c r="R23" s="15">
        <f>+R20/R4</f>
        <v>1185.4753846153847</v>
      </c>
      <c r="S23" s="15">
        <f>+S20/S4</f>
        <v>1420.0128455284555</v>
      </c>
    </row>
    <row r="24" spans="1:21" ht="15.75" thickBot="1" x14ac:dyDescent="0.3">
      <c r="A24" t="s">
        <v>21</v>
      </c>
      <c r="B24" t="s">
        <v>1</v>
      </c>
      <c r="C24" s="50">
        <f>+C19/C5</f>
        <v>0</v>
      </c>
      <c r="D24" s="50">
        <f>+D19/D5</f>
        <v>0</v>
      </c>
      <c r="E24" s="50">
        <f>+E19/E5</f>
        <v>0</v>
      </c>
      <c r="F24" s="31">
        <f>+F19/F5</f>
        <v>2.4236505089049801E-2</v>
      </c>
      <c r="G24" s="53"/>
      <c r="H24" s="50"/>
      <c r="I24" s="50"/>
      <c r="J24" s="31">
        <f>+J19/J5</f>
        <v>2.7108936015649867E-2</v>
      </c>
      <c r="K24" s="53"/>
      <c r="L24" s="50"/>
      <c r="M24" s="50"/>
      <c r="N24" s="31">
        <f>+N19/N5</f>
        <v>3.5439951414766031E-2</v>
      </c>
      <c r="O24" s="50"/>
      <c r="P24" s="50"/>
      <c r="Q24" s="50"/>
      <c r="R24" s="31">
        <f>+R19/R5</f>
        <v>4.0949297021619896E-2</v>
      </c>
      <c r="S24" s="31">
        <f>+S19/S5</f>
        <v>2.9786756554212122E-2</v>
      </c>
    </row>
    <row r="25" spans="1:21" ht="15.75" thickBot="1" x14ac:dyDescent="0.3">
      <c r="A25" t="s">
        <v>19</v>
      </c>
      <c r="B25" t="s">
        <v>10</v>
      </c>
      <c r="C25" s="50">
        <f>+C20/C5</f>
        <v>0</v>
      </c>
      <c r="D25" s="50">
        <f>+D20/D5</f>
        <v>0</v>
      </c>
      <c r="E25" s="50">
        <f>+E20/E5</f>
        <v>0</v>
      </c>
      <c r="F25" s="26">
        <f>+F20/F5</f>
        <v>4.9851501861284314E-2</v>
      </c>
      <c r="G25" s="53"/>
      <c r="H25" s="50"/>
      <c r="I25" s="50"/>
      <c r="J25" s="26">
        <f>+J20/J5</f>
        <v>5.6377717952463949E-2</v>
      </c>
      <c r="K25" s="53"/>
      <c r="L25" s="50"/>
      <c r="M25" s="50"/>
      <c r="N25" s="26">
        <f>+N20/N5</f>
        <v>5.4969084677376982E-2</v>
      </c>
      <c r="O25" s="50"/>
      <c r="P25" s="50"/>
      <c r="Q25" s="50"/>
      <c r="R25" s="26">
        <f>+R20/R5</f>
        <v>6.3485437077978782E-2</v>
      </c>
      <c r="S25" s="26">
        <f>+S20/S5</f>
        <v>5.4881504296908606E-2</v>
      </c>
    </row>
    <row r="26" spans="1:21" x14ac:dyDescent="0.25">
      <c r="C26" s="27">
        <f>+$F$25*C5</f>
        <v>21517.8229995168</v>
      </c>
      <c r="D26" s="27">
        <f t="shared" ref="D26:E26" si="18">+$F$25*D5</f>
        <v>16337.129300307446</v>
      </c>
      <c r="E26" s="27">
        <f t="shared" si="18"/>
        <v>18365.657700175747</v>
      </c>
      <c r="F26" s="27"/>
      <c r="G26" s="27">
        <f>+$J$25*G5</f>
        <v>20409.99168567947</v>
      </c>
      <c r="H26" s="27">
        <f t="shared" ref="H26:I26" si="19">+$J$25*H5</f>
        <v>18470.35801903623</v>
      </c>
      <c r="I26" s="27">
        <f t="shared" si="19"/>
        <v>15469.820295284298</v>
      </c>
      <c r="J26" s="27"/>
      <c r="K26" s="27">
        <f>+$N$25*K5</f>
        <v>14394.006075222253</v>
      </c>
      <c r="L26" s="27">
        <f>+$N$25*L5</f>
        <v>9410.1867395350437</v>
      </c>
      <c r="M26" s="27">
        <f>+$N$25*M5</f>
        <v>9464.2471852427043</v>
      </c>
      <c r="N26" s="27"/>
      <c r="O26" s="27"/>
      <c r="P26" s="27"/>
      <c r="Q26" s="27"/>
      <c r="R26" s="27"/>
      <c r="S26" s="27"/>
    </row>
    <row r="27" spans="1:21" ht="15.75" thickBot="1" x14ac:dyDescent="0.3">
      <c r="A27" s="22" t="s">
        <v>13</v>
      </c>
      <c r="B27" s="22"/>
    </row>
    <row r="28" spans="1:21" ht="15.75" thickBot="1" x14ac:dyDescent="0.3">
      <c r="A28" t="s">
        <v>6</v>
      </c>
      <c r="C28" s="1">
        <f>+C44</f>
        <v>337217</v>
      </c>
      <c r="D28" s="1">
        <f>+D44</f>
        <v>303836</v>
      </c>
      <c r="E28" s="10">
        <f>+E44</f>
        <v>350997</v>
      </c>
      <c r="F28" s="12">
        <f>SUM(C28:E28)</f>
        <v>992050</v>
      </c>
      <c r="G28" s="11">
        <f>+G44</f>
        <v>329246</v>
      </c>
      <c r="H28" s="1">
        <f>+H44</f>
        <v>345013</v>
      </c>
      <c r="I28" s="10">
        <f>+I44</f>
        <v>332045</v>
      </c>
      <c r="J28" s="12">
        <f>SUM(G28:I28)</f>
        <v>1006304</v>
      </c>
      <c r="K28" s="11">
        <f>+K44</f>
        <v>320926</v>
      </c>
      <c r="L28" s="1">
        <f>+L44</f>
        <v>284588</v>
      </c>
      <c r="M28" s="1">
        <f>+M44</f>
        <v>267985</v>
      </c>
      <c r="N28" s="12">
        <f>SUM(K28:M28)</f>
        <v>873499</v>
      </c>
      <c r="O28" s="1">
        <f>+O44</f>
        <v>252792</v>
      </c>
      <c r="P28" s="1">
        <v>246717</v>
      </c>
      <c r="Q28" s="10">
        <v>244944</v>
      </c>
      <c r="R28" s="12">
        <f>SUM(O28:Q28)</f>
        <v>744453</v>
      </c>
      <c r="S28" s="12">
        <f>F28+J28+N28+R28</f>
        <v>3616306</v>
      </c>
    </row>
    <row r="29" spans="1:21" ht="15.75" thickBot="1" x14ac:dyDescent="0.3">
      <c r="A29" t="s">
        <v>15</v>
      </c>
      <c r="C29" s="13">
        <v>46831.16</v>
      </c>
      <c r="D29" s="13">
        <v>61939.77</v>
      </c>
      <c r="E29" s="14">
        <v>49046.87</v>
      </c>
      <c r="F29" s="15">
        <f>SUM(C29:E29)</f>
        <v>157817.79999999999</v>
      </c>
      <c r="G29" s="16">
        <v>40128.410000000003</v>
      </c>
      <c r="H29" s="13">
        <v>40297.32</v>
      </c>
      <c r="I29" s="14">
        <v>45836.78</v>
      </c>
      <c r="J29" s="15">
        <f>SUM(G29:I29)</f>
        <v>126262.51000000001</v>
      </c>
      <c r="K29" s="16">
        <v>48110.94</v>
      </c>
      <c r="L29" s="13">
        <v>40521.5</v>
      </c>
      <c r="M29" s="14">
        <v>40911.199999999997</v>
      </c>
      <c r="N29" s="15">
        <f>SUM(K29:M29)</f>
        <v>129543.64</v>
      </c>
      <c r="O29" s="14">
        <v>36247.83</v>
      </c>
      <c r="P29" s="14">
        <v>30884.26</v>
      </c>
      <c r="Q29" s="14">
        <v>34147.61</v>
      </c>
      <c r="R29" s="15">
        <f>SUM(O29:Q29)</f>
        <v>101279.7</v>
      </c>
      <c r="S29" s="15">
        <f>F29+J29+N29+R29</f>
        <v>514903.65</v>
      </c>
      <c r="T29" s="58">
        <v>31842.720000000001</v>
      </c>
    </row>
    <row r="30" spans="1:21" ht="15.75" thickBot="1" x14ac:dyDescent="0.3">
      <c r="A30" t="s">
        <v>23</v>
      </c>
      <c r="C30" s="13">
        <f>+C29/C28</f>
        <v>0.13887544222266376</v>
      </c>
      <c r="D30" s="13">
        <f t="shared" ref="D30:O30" si="20">+D29/D28</f>
        <v>0.20385922010558327</v>
      </c>
      <c r="E30" s="14">
        <f t="shared" si="20"/>
        <v>0.13973586668831928</v>
      </c>
      <c r="F30" s="15">
        <f t="shared" si="20"/>
        <v>0.15908250592208054</v>
      </c>
      <c r="G30" s="16">
        <f t="shared" si="20"/>
        <v>0.12187971911579792</v>
      </c>
      <c r="H30" s="13">
        <f t="shared" si="20"/>
        <v>0.11679942494920481</v>
      </c>
      <c r="I30" s="13">
        <f t="shared" si="20"/>
        <v>0.13804387959463327</v>
      </c>
      <c r="J30" s="15">
        <f t="shared" si="20"/>
        <v>0.12547153742805356</v>
      </c>
      <c r="K30" s="13">
        <f t="shared" si="20"/>
        <v>0.14991287711185758</v>
      </c>
      <c r="L30" s="13">
        <f t="shared" si="20"/>
        <v>0.14238653773173851</v>
      </c>
      <c r="M30" s="13">
        <f t="shared" si="20"/>
        <v>0.15266227587364964</v>
      </c>
      <c r="N30" s="15">
        <f t="shared" si="20"/>
        <v>0.14830427968434995</v>
      </c>
      <c r="O30" s="13">
        <f t="shared" si="20"/>
        <v>0.14338994113737777</v>
      </c>
      <c r="P30" s="13">
        <f t="shared" ref="P30:Q30" si="21">+P29/P28</f>
        <v>0.1251809157861031</v>
      </c>
      <c r="Q30" s="13">
        <f t="shared" si="21"/>
        <v>0.1394098651120256</v>
      </c>
      <c r="R30" s="15">
        <f t="shared" ref="R30" si="22">+R29/R28</f>
        <v>0.13604579469758332</v>
      </c>
      <c r="S30" s="15">
        <f t="shared" ref="S30" si="23">+S29/S28</f>
        <v>0.14238387182943038</v>
      </c>
    </row>
    <row r="31" spans="1:21" ht="15.75" thickBot="1" x14ac:dyDescent="0.3">
      <c r="D31" s="27"/>
      <c r="F31" s="39"/>
      <c r="G31" s="27"/>
      <c r="I31" s="27"/>
      <c r="J31" s="39"/>
      <c r="N31" s="39"/>
      <c r="R31" s="39"/>
      <c r="S31" s="39"/>
    </row>
    <row r="32" spans="1:21" ht="15.75" thickBot="1" x14ac:dyDescent="0.3">
      <c r="A32" t="s">
        <v>14</v>
      </c>
      <c r="B32" t="s">
        <v>6</v>
      </c>
      <c r="C32" s="1">
        <f t="shared" ref="C32:S32" si="24">+C28/C4</f>
        <v>24086.928571428572</v>
      </c>
      <c r="D32" s="1">
        <f t="shared" si="24"/>
        <v>23372</v>
      </c>
      <c r="E32" s="10">
        <f t="shared" si="24"/>
        <v>31908.81818181818</v>
      </c>
      <c r="F32" s="12">
        <f t="shared" si="24"/>
        <v>26106.57894736842</v>
      </c>
      <c r="G32" s="11">
        <f t="shared" si="24"/>
        <v>29931.454545454544</v>
      </c>
      <c r="H32" s="1">
        <f t="shared" si="24"/>
        <v>34501.300000000003</v>
      </c>
      <c r="I32" s="1">
        <f t="shared" si="24"/>
        <v>36893.888888888891</v>
      </c>
      <c r="J32" s="12">
        <f t="shared" si="24"/>
        <v>33543.466666666667</v>
      </c>
      <c r="K32" s="1">
        <f t="shared" si="24"/>
        <v>32092.6</v>
      </c>
      <c r="L32" s="1">
        <f t="shared" si="24"/>
        <v>31620.888888888891</v>
      </c>
      <c r="M32" s="1">
        <f t="shared" si="24"/>
        <v>26798.5</v>
      </c>
      <c r="N32" s="12">
        <f t="shared" si="24"/>
        <v>30120.655172413793</v>
      </c>
      <c r="O32" s="1">
        <f t="shared" ref="O32:P32" si="25">+O28/O4</f>
        <v>28088</v>
      </c>
      <c r="P32" s="1">
        <f t="shared" si="25"/>
        <v>27413</v>
      </c>
      <c r="Q32" s="1">
        <f t="shared" ref="Q32" si="26">+Q28/Q4</f>
        <v>30618</v>
      </c>
      <c r="R32" s="12">
        <f t="shared" ref="R32" si="27">+R28/R4</f>
        <v>28632.807692307691</v>
      </c>
      <c r="S32" s="12">
        <f t="shared" si="24"/>
        <v>29400.861788617887</v>
      </c>
    </row>
    <row r="33" spans="1:19" ht="15.75" thickBot="1" x14ac:dyDescent="0.3">
      <c r="A33" t="s">
        <v>14</v>
      </c>
      <c r="B33" t="s">
        <v>10</v>
      </c>
      <c r="C33" s="13">
        <f t="shared" ref="C33:S33" si="28">+C29/C4</f>
        <v>3345.0828571428574</v>
      </c>
      <c r="D33" s="13">
        <f t="shared" si="28"/>
        <v>4764.5976923076923</v>
      </c>
      <c r="E33" s="14">
        <f t="shared" si="28"/>
        <v>4458.806363636364</v>
      </c>
      <c r="F33" s="15">
        <f t="shared" si="28"/>
        <v>4153.0999999999995</v>
      </c>
      <c r="G33" s="16">
        <f t="shared" si="28"/>
        <v>3648.0372727272729</v>
      </c>
      <c r="H33" s="13">
        <f t="shared" si="28"/>
        <v>4029.732</v>
      </c>
      <c r="I33" s="13">
        <f t="shared" si="28"/>
        <v>5092.9755555555557</v>
      </c>
      <c r="J33" s="15">
        <f t="shared" si="28"/>
        <v>4208.7503333333334</v>
      </c>
      <c r="K33" s="13">
        <f t="shared" si="28"/>
        <v>4811.0940000000001</v>
      </c>
      <c r="L33" s="13">
        <f t="shared" si="28"/>
        <v>4502.3888888888887</v>
      </c>
      <c r="M33" s="13">
        <f t="shared" si="28"/>
        <v>4091.12</v>
      </c>
      <c r="N33" s="15">
        <f t="shared" si="28"/>
        <v>4467.0220689655171</v>
      </c>
      <c r="O33" s="13">
        <f t="shared" ref="O33:P33" si="29">+O29/O4</f>
        <v>4027.5366666666669</v>
      </c>
      <c r="P33" s="13">
        <f t="shared" si="29"/>
        <v>3431.5844444444442</v>
      </c>
      <c r="Q33" s="13">
        <f t="shared" ref="Q33" si="30">+Q29/Q4</f>
        <v>4268.4512500000001</v>
      </c>
      <c r="R33" s="15">
        <f t="shared" ref="R33" si="31">+R29/R4</f>
        <v>3895.373076923077</v>
      </c>
      <c r="S33" s="15">
        <f t="shared" si="28"/>
        <v>4186.2085365853663</v>
      </c>
    </row>
    <row r="34" spans="1:19" ht="15.75" thickBot="1" x14ac:dyDescent="0.3">
      <c r="A34" t="s">
        <v>20</v>
      </c>
      <c r="B34" t="s">
        <v>6</v>
      </c>
      <c r="C34" s="30">
        <f t="shared" ref="C34:S34" si="32">+C28/C5</f>
        <v>0.78124882352337466</v>
      </c>
      <c r="D34" s="30">
        <f t="shared" si="32"/>
        <v>0.927132340149878</v>
      </c>
      <c r="E34" s="33">
        <f t="shared" si="32"/>
        <v>0.95274168148292171</v>
      </c>
      <c r="F34" s="31">
        <f t="shared" si="32"/>
        <v>0.87966285711747172</v>
      </c>
      <c r="G34" s="36">
        <f t="shared" si="32"/>
        <v>0.90946328694493994</v>
      </c>
      <c r="H34" s="30">
        <f t="shared" si="32"/>
        <v>1.0530952125501023</v>
      </c>
      <c r="I34" s="30">
        <f t="shared" si="32"/>
        <v>1.2100941704689572</v>
      </c>
      <c r="J34" s="31">
        <f t="shared" si="32"/>
        <v>1.0438444458671663</v>
      </c>
      <c r="K34" s="30">
        <f t="shared" si="32"/>
        <v>1.2255801739266321</v>
      </c>
      <c r="L34" s="30">
        <f t="shared" si="32"/>
        <v>1.6624050407461208</v>
      </c>
      <c r="M34" s="30">
        <f t="shared" si="32"/>
        <v>1.5564777492536619</v>
      </c>
      <c r="N34" s="31">
        <f t="shared" si="32"/>
        <v>1.4432729787331211</v>
      </c>
      <c r="O34" s="30">
        <f t="shared" ref="O34:P34" si="33">+O28/O5</f>
        <v>1.899078226769737</v>
      </c>
      <c r="P34" s="30">
        <f t="shared" si="33"/>
        <v>1.5674041535190404</v>
      </c>
      <c r="Q34" s="30">
        <f t="shared" ref="Q34" si="34">+Q28/Q5</f>
        <v>1.2562197092084006</v>
      </c>
      <c r="R34" s="31">
        <f t="shared" ref="R34" si="35">+R28/R5</f>
        <v>1.5333648717688244</v>
      </c>
      <c r="S34" s="31">
        <f t="shared" si="32"/>
        <v>1.1363020606932352</v>
      </c>
    </row>
    <row r="35" spans="1:19" ht="15.75" thickBot="1" x14ac:dyDescent="0.3">
      <c r="A35" t="s">
        <v>19</v>
      </c>
      <c r="B35" t="s">
        <v>10</v>
      </c>
      <c r="C35" s="25">
        <f t="shared" ref="C35:S35" si="36">+C29/C5</f>
        <v>0.10849627585274445</v>
      </c>
      <c r="D35" s="25">
        <f t="shared" si="36"/>
        <v>0.18900447579761845</v>
      </c>
      <c r="E35" s="34">
        <f t="shared" si="36"/>
        <v>0.13313218459210269</v>
      </c>
      <c r="F35" s="26">
        <f t="shared" si="36"/>
        <v>0.13993897167682448</v>
      </c>
      <c r="G35" s="37">
        <f t="shared" si="36"/>
        <v>0.1108451299589796</v>
      </c>
      <c r="H35" s="25">
        <f t="shared" si="36"/>
        <v>0.12300091524261256</v>
      </c>
      <c r="I35" s="25">
        <f t="shared" si="36"/>
        <v>0.16704609396638434</v>
      </c>
      <c r="J35" s="26">
        <f t="shared" si="36"/>
        <v>0.13097276745868799</v>
      </c>
      <c r="K35" s="25">
        <f t="shared" si="36"/>
        <v>0.1837302500045922</v>
      </c>
      <c r="L35" s="25">
        <f t="shared" si="36"/>
        <v>0.23670409805962983</v>
      </c>
      <c r="M35" s="25">
        <f t="shared" si="36"/>
        <v>0.2376154355477598</v>
      </c>
      <c r="N35" s="26">
        <f t="shared" si="36"/>
        <v>0.21404355949890164</v>
      </c>
      <c r="O35" s="25">
        <f t="shared" ref="O35:P35" si="37">+O29/O5</f>
        <v>0.27230871515178834</v>
      </c>
      <c r="P35" s="25">
        <f t="shared" si="37"/>
        <v>0.19620908734445522</v>
      </c>
      <c r="Q35" s="25">
        <f t="shared" ref="Q35" si="38">+Q29/Q5</f>
        <v>0.17512942021181116</v>
      </c>
      <c r="R35" s="26">
        <f t="shared" ref="R35" si="39">+R29/R5</f>
        <v>0.20860784254114764</v>
      </c>
      <c r="S35" s="26">
        <f t="shared" si="36"/>
        <v>0.16179108696926323</v>
      </c>
    </row>
    <row r="37" spans="1:19" ht="15.75" thickBot="1" x14ac:dyDescent="0.3">
      <c r="A37" s="22" t="s">
        <v>16</v>
      </c>
    </row>
    <row r="38" spans="1:19" ht="15.75" thickBot="1" x14ac:dyDescent="0.3">
      <c r="A38" t="s">
        <v>14</v>
      </c>
      <c r="B38" t="s">
        <v>10</v>
      </c>
      <c r="C38" s="1">
        <f t="shared" ref="C38:S38" si="40">IF(+C4&gt;0,+(C14+C23+C33),"")</f>
        <v>6285.6785714285716</v>
      </c>
      <c r="D38" s="13">
        <f t="shared" si="40"/>
        <v>7056.7038461538468</v>
      </c>
      <c r="E38" s="14">
        <f t="shared" si="40"/>
        <v>6665.4463636363635</v>
      </c>
      <c r="F38" s="15">
        <f t="shared" si="40"/>
        <v>8138.8728947368418</v>
      </c>
      <c r="G38" s="16">
        <f t="shared" si="40"/>
        <v>6232.4127272727274</v>
      </c>
      <c r="H38" s="13">
        <f t="shared" si="40"/>
        <v>6678.4809999999998</v>
      </c>
      <c r="I38" s="13">
        <f t="shared" si="40"/>
        <v>7775.431111111111</v>
      </c>
      <c r="J38" s="15">
        <f t="shared" si="40"/>
        <v>8655.68</v>
      </c>
      <c r="K38" s="13">
        <f t="shared" si="40"/>
        <v>7098.0129999999999</v>
      </c>
      <c r="L38" s="13">
        <f t="shared" si="40"/>
        <v>6886.2777777777774</v>
      </c>
      <c r="M38" s="13">
        <f t="shared" si="40"/>
        <v>6204.0349999999999</v>
      </c>
      <c r="N38" s="15">
        <f t="shared" si="40"/>
        <v>7871.2213793103447</v>
      </c>
      <c r="O38" s="13">
        <f t="shared" ref="O38:P38" si="41">IF(+O4&gt;0,+(O14+O23+O33),"")</f>
        <v>6636.097777777778</v>
      </c>
      <c r="P38" s="13">
        <f t="shared" si="41"/>
        <v>6410.2577777777778</v>
      </c>
      <c r="Q38" s="13">
        <f t="shared" ref="Q38" si="42">IF(+Q4&gt;0,+(Q14+Q23+Q33),"")</f>
        <v>7764.5625</v>
      </c>
      <c r="R38" s="15">
        <f t="shared" ref="R38" si="43">IF(+R4&gt;0,+(R14+R23+R33),"")</f>
        <v>8090.6176923076928</v>
      </c>
      <c r="S38" s="15">
        <f t="shared" si="40"/>
        <v>8191.6182926829279</v>
      </c>
    </row>
    <row r="39" spans="1:19" ht="15.75" thickBot="1" x14ac:dyDescent="0.3">
      <c r="A39" t="s">
        <v>19</v>
      </c>
      <c r="B39" t="s">
        <v>10</v>
      </c>
      <c r="C39" s="23">
        <f t="shared" ref="C39:S39" si="44">+C16+C25+C35</f>
        <v>0.20387319098872597</v>
      </c>
      <c r="D39" s="23">
        <f t="shared" si="44"/>
        <v>0.27992890427131867</v>
      </c>
      <c r="E39" s="35">
        <f t="shared" si="44"/>
        <v>0.19901860796410364</v>
      </c>
      <c r="F39" s="24">
        <f t="shared" si="44"/>
        <v>0.27423984577733584</v>
      </c>
      <c r="G39" s="38">
        <f t="shared" si="44"/>
        <v>0.18937103627674218</v>
      </c>
      <c r="H39" s="23">
        <f t="shared" si="44"/>
        <v>0.2038496047455261</v>
      </c>
      <c r="I39" s="23">
        <f t="shared" si="44"/>
        <v>0.25502879050715022</v>
      </c>
      <c r="J39" s="24">
        <f t="shared" si="44"/>
        <v>0.26935747527199083</v>
      </c>
      <c r="K39" s="23">
        <f t="shared" si="44"/>
        <v>0.2710651055717983</v>
      </c>
      <c r="L39" s="23">
        <f t="shared" si="44"/>
        <v>0.36203229232364664</v>
      </c>
      <c r="M39" s="23">
        <f t="shared" si="44"/>
        <v>0.36033518417414939</v>
      </c>
      <c r="N39" s="24">
        <f t="shared" si="44"/>
        <v>0.37716049207287811</v>
      </c>
      <c r="O39" s="23">
        <f t="shared" ref="O39:P39" si="45">+O16+O25+O35</f>
        <v>0.44867804046186321</v>
      </c>
      <c r="P39" s="23">
        <f t="shared" si="45"/>
        <v>0.36652189348180142</v>
      </c>
      <c r="Q39" s="23">
        <f t="shared" ref="Q39" si="46">+Q16+Q25+Q35</f>
        <v>0.3185706592814832</v>
      </c>
      <c r="R39" s="24">
        <f t="shared" ref="R39" si="47">+R16+R25+R35</f>
        <v>0.43327462306914621</v>
      </c>
      <c r="S39" s="24">
        <f t="shared" si="44"/>
        <v>0.31659455472123366</v>
      </c>
    </row>
    <row r="44" spans="1:19" x14ac:dyDescent="0.25">
      <c r="A44" t="s">
        <v>8</v>
      </c>
      <c r="C44" s="2">
        <f t="shared" ref="C44:L44" si="48">SUM(C45:C51)</f>
        <v>337217</v>
      </c>
      <c r="D44" s="2">
        <f t="shared" si="48"/>
        <v>303836</v>
      </c>
      <c r="E44" s="2">
        <f t="shared" si="48"/>
        <v>350997</v>
      </c>
      <c r="F44" s="56">
        <f t="shared" si="48"/>
        <v>992050</v>
      </c>
      <c r="G44" s="2">
        <f t="shared" si="48"/>
        <v>329246</v>
      </c>
      <c r="H44" s="2">
        <f t="shared" si="48"/>
        <v>345013</v>
      </c>
      <c r="I44" s="2">
        <f t="shared" si="48"/>
        <v>332045</v>
      </c>
      <c r="J44" s="56">
        <f t="shared" si="48"/>
        <v>1006304</v>
      </c>
      <c r="K44" s="2">
        <f t="shared" si="48"/>
        <v>320926</v>
      </c>
      <c r="L44" s="2">
        <f t="shared" si="48"/>
        <v>284588</v>
      </c>
      <c r="M44" s="2">
        <f>SUM(M45:M51)</f>
        <v>267985</v>
      </c>
      <c r="N44" s="56">
        <f t="shared" ref="N44:R44" si="49">SUM(N45:N51)</f>
        <v>873499</v>
      </c>
      <c r="O44" s="2">
        <f t="shared" si="49"/>
        <v>252792</v>
      </c>
      <c r="P44" s="2">
        <f t="shared" si="49"/>
        <v>246717</v>
      </c>
      <c r="Q44" s="2"/>
      <c r="R44" s="56">
        <f t="shared" si="49"/>
        <v>499509</v>
      </c>
      <c r="S44" s="2">
        <f>+F44+J44+N44+R44</f>
        <v>3371362</v>
      </c>
    </row>
    <row r="45" spans="1:19" x14ac:dyDescent="0.25">
      <c r="C45" s="5">
        <v>120482</v>
      </c>
      <c r="D45" s="5">
        <v>108164</v>
      </c>
      <c r="E45" s="5">
        <v>128937</v>
      </c>
      <c r="F45" s="57">
        <f>SUM(C45:E45)</f>
        <v>357583</v>
      </c>
      <c r="G45" s="5">
        <v>116584</v>
      </c>
      <c r="H45" s="5">
        <v>122392</v>
      </c>
      <c r="I45" s="5">
        <v>113372</v>
      </c>
      <c r="J45" s="57">
        <f>SUM(G45:I45)</f>
        <v>352348</v>
      </c>
      <c r="K45" s="5">
        <v>107129</v>
      </c>
      <c r="L45" s="5">
        <v>93130</v>
      </c>
      <c r="M45" s="5">
        <v>92609</v>
      </c>
      <c r="N45" s="57">
        <f>SUM(K45:M45)</f>
        <v>292868</v>
      </c>
      <c r="O45" s="5">
        <v>85848</v>
      </c>
      <c r="P45" s="5">
        <v>246717</v>
      </c>
      <c r="Q45" s="5"/>
      <c r="R45" s="57">
        <f>SUM(O45:Q45)</f>
        <v>332565</v>
      </c>
      <c r="S45" s="5">
        <f t="shared" ref="S45:S47" si="50">+F45+J45+N45+R45</f>
        <v>1335364</v>
      </c>
    </row>
    <row r="46" spans="1:19" x14ac:dyDescent="0.25">
      <c r="C46" s="5">
        <v>87386</v>
      </c>
      <c r="D46" s="5">
        <v>79157</v>
      </c>
      <c r="E46" s="5">
        <v>94738</v>
      </c>
      <c r="F46" s="57">
        <f>SUM(C46:E46)</f>
        <v>261281</v>
      </c>
      <c r="G46" s="5">
        <v>85392</v>
      </c>
      <c r="H46" s="5">
        <v>88534</v>
      </c>
      <c r="I46" s="5">
        <v>85418</v>
      </c>
      <c r="J46" s="57">
        <f>SUM(G46:I46)</f>
        <v>259344</v>
      </c>
      <c r="K46" s="5">
        <v>80609</v>
      </c>
      <c r="L46" s="5">
        <v>72239</v>
      </c>
      <c r="M46" s="5">
        <v>65791</v>
      </c>
      <c r="N46" s="57">
        <f>SUM(K46:M46)</f>
        <v>218639</v>
      </c>
      <c r="O46" s="5">
        <v>60036</v>
      </c>
      <c r="P46" s="5"/>
      <c r="Q46" s="5"/>
      <c r="R46" s="57">
        <f>SUM(O46:Q46)</f>
        <v>60036</v>
      </c>
      <c r="S46" s="5">
        <f t="shared" si="50"/>
        <v>799300</v>
      </c>
    </row>
    <row r="47" spans="1:19" x14ac:dyDescent="0.25">
      <c r="C47" s="5">
        <v>129349</v>
      </c>
      <c r="D47" s="5">
        <v>116515</v>
      </c>
      <c r="E47" s="5">
        <v>127322</v>
      </c>
      <c r="F47" s="57">
        <f>SUM(C47:E47)</f>
        <v>373186</v>
      </c>
      <c r="G47" s="5">
        <v>127270</v>
      </c>
      <c r="H47" s="5">
        <v>134087</v>
      </c>
      <c r="I47" s="5">
        <v>133255</v>
      </c>
      <c r="J47" s="57">
        <f>SUM(G47:I47)</f>
        <v>394612</v>
      </c>
      <c r="K47" s="5">
        <v>133188</v>
      </c>
      <c r="L47" s="5">
        <v>119219</v>
      </c>
      <c r="M47" s="5">
        <v>109585</v>
      </c>
      <c r="N47" s="57">
        <f>SUM(K47:M47)</f>
        <v>361992</v>
      </c>
      <c r="O47" s="5">
        <v>106908</v>
      </c>
      <c r="P47" s="5"/>
      <c r="Q47" s="5"/>
      <c r="R47" s="57">
        <f>SUM(O47:Q47)</f>
        <v>106908</v>
      </c>
      <c r="S47" s="5">
        <f t="shared" si="50"/>
        <v>1236698</v>
      </c>
    </row>
    <row r="48" spans="1:19" x14ac:dyDescent="0.25">
      <c r="H48" s="5"/>
      <c r="I48" s="5"/>
      <c r="L48" s="5"/>
      <c r="M48" s="5"/>
      <c r="O48" s="5"/>
    </row>
    <row r="49" spans="8:21" x14ac:dyDescent="0.25">
      <c r="H49" s="5"/>
      <c r="I49" s="5"/>
      <c r="L49" s="5"/>
      <c r="M49" s="5"/>
      <c r="O49" s="5"/>
    </row>
    <row r="50" spans="8:21" x14ac:dyDescent="0.25">
      <c r="L50" s="5"/>
      <c r="M50" s="5"/>
      <c r="O50" s="5"/>
    </row>
    <row r="51" spans="8:21" x14ac:dyDescent="0.25">
      <c r="P51" s="5"/>
      <c r="U51" s="5"/>
    </row>
  </sheetData>
  <pageMargins left="0.27559055118110237" right="0.27559055118110237" top="0.19685039370078741" bottom="0.31496062992125984" header="0.19685039370078741" footer="0.23622047244094491"/>
  <pageSetup paperSize="9" scale="6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9D56-55DB-4FD4-837D-F6D29EACCE5D}">
  <sheetPr>
    <pageSetUpPr fitToPage="1"/>
  </sheetPr>
  <dimension ref="A1:W45"/>
  <sheetViews>
    <sheetView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O5" sqref="O5:O34"/>
    </sheetView>
  </sheetViews>
  <sheetFormatPr baseColWidth="10" defaultRowHeight="15" x14ac:dyDescent="0.25"/>
  <cols>
    <col min="1" max="1" width="15.7109375" customWidth="1"/>
    <col min="2" max="2" width="5" bestFit="1" customWidth="1"/>
    <col min="3" max="3" width="12" bestFit="1" customWidth="1"/>
    <col min="4" max="5" width="10.140625" bestFit="1" customWidth="1"/>
    <col min="6" max="6" width="11.7109375" bestFit="1" customWidth="1"/>
    <col min="7" max="9" width="10.140625" bestFit="1" customWidth="1"/>
    <col min="10" max="10" width="11.7109375" bestFit="1" customWidth="1"/>
    <col min="11" max="13" width="10.140625" bestFit="1" customWidth="1"/>
    <col min="14" max="14" width="11.7109375" bestFit="1" customWidth="1"/>
    <col min="15" max="17" width="10.140625" bestFit="1" customWidth="1"/>
    <col min="18" max="19" width="11.7109375" bestFit="1" customWidth="1"/>
  </cols>
  <sheetData>
    <row r="1" spans="1:19" ht="24" thickBot="1" x14ac:dyDescent="0.4">
      <c r="A1" s="44" t="s">
        <v>5</v>
      </c>
      <c r="B1" s="3"/>
    </row>
    <row r="2" spans="1:19" ht="27" thickBot="1" x14ac:dyDescent="0.45">
      <c r="A2" s="32">
        <v>2024</v>
      </c>
      <c r="C2" s="40">
        <v>45292</v>
      </c>
      <c r="D2" s="40">
        <v>45323</v>
      </c>
      <c r="E2" s="40">
        <v>45352</v>
      </c>
      <c r="F2" s="42" t="s">
        <v>0</v>
      </c>
      <c r="G2" s="43">
        <v>45383</v>
      </c>
      <c r="H2" s="43">
        <v>45413</v>
      </c>
      <c r="I2" s="43">
        <v>45444</v>
      </c>
      <c r="J2" s="42" t="s">
        <v>2</v>
      </c>
      <c r="K2" s="43">
        <v>45474</v>
      </c>
      <c r="L2" s="43">
        <v>45505</v>
      </c>
      <c r="M2" s="43">
        <v>45536</v>
      </c>
      <c r="N2" s="42" t="s">
        <v>3</v>
      </c>
      <c r="O2" s="43">
        <v>45566</v>
      </c>
      <c r="P2" s="43">
        <v>45597</v>
      </c>
      <c r="Q2" s="43">
        <v>45627</v>
      </c>
      <c r="R2" s="42" t="s">
        <v>4</v>
      </c>
      <c r="S2" s="42" t="s">
        <v>7</v>
      </c>
    </row>
    <row r="3" spans="1:19" ht="15.75" thickBot="1" x14ac:dyDescent="0.3">
      <c r="F3" s="39"/>
      <c r="J3" s="39"/>
      <c r="N3" s="39"/>
      <c r="R3" s="39"/>
      <c r="S3" s="39"/>
    </row>
    <row r="4" spans="1:19" ht="15.75" thickBot="1" x14ac:dyDescent="0.3">
      <c r="A4" t="s">
        <v>9</v>
      </c>
      <c r="C4" s="6">
        <v>11</v>
      </c>
      <c r="D4" s="6">
        <v>10</v>
      </c>
      <c r="E4" s="7">
        <v>10</v>
      </c>
      <c r="F4" s="9">
        <f>SUM(C4:E4)</f>
        <v>31</v>
      </c>
      <c r="G4" s="8">
        <v>16</v>
      </c>
      <c r="H4" s="6">
        <v>16</v>
      </c>
      <c r="I4" s="7">
        <v>8</v>
      </c>
      <c r="J4" s="9">
        <f>SUM(G4:I4)</f>
        <v>40</v>
      </c>
      <c r="K4" s="8">
        <v>8</v>
      </c>
      <c r="L4" s="6">
        <v>10</v>
      </c>
      <c r="M4" s="7">
        <v>7</v>
      </c>
      <c r="N4" s="9">
        <f>SUM(K4:M4)</f>
        <v>25</v>
      </c>
      <c r="O4" s="7">
        <v>4</v>
      </c>
      <c r="P4" s="6">
        <v>7</v>
      </c>
      <c r="Q4" s="7">
        <v>9</v>
      </c>
      <c r="R4" s="9">
        <f>SUM(O4:Q4)</f>
        <v>20</v>
      </c>
      <c r="S4" s="9">
        <f>F4+J4+N4+R4</f>
        <v>116</v>
      </c>
    </row>
    <row r="5" spans="1:19" ht="15.75" thickBot="1" x14ac:dyDescent="0.3">
      <c r="A5" t="s">
        <v>17</v>
      </c>
      <c r="C5" s="13">
        <v>261030.7</v>
      </c>
      <c r="D5" s="13">
        <v>204460.40000000002</v>
      </c>
      <c r="E5" s="14">
        <v>230012.6</v>
      </c>
      <c r="F5" s="15">
        <f>SUM(C5:E5)</f>
        <v>695503.70000000007</v>
      </c>
      <c r="G5" s="16">
        <v>502743.89999999997</v>
      </c>
      <c r="H5" s="13">
        <v>451151.1</v>
      </c>
      <c r="I5" s="13">
        <v>213607</v>
      </c>
      <c r="J5" s="15">
        <f>SUM(G5:I5)</f>
        <v>1167502</v>
      </c>
      <c r="K5" s="13">
        <v>182179.19999999998</v>
      </c>
      <c r="L5" s="13">
        <v>202642.9</v>
      </c>
      <c r="M5" s="13">
        <v>140344.4</v>
      </c>
      <c r="N5" s="15">
        <f>SUM(K5:M5)</f>
        <v>525166.5</v>
      </c>
      <c r="O5" s="13">
        <v>96093.4</v>
      </c>
      <c r="P5" s="13">
        <v>165641.62000000002</v>
      </c>
      <c r="Q5" s="13">
        <v>198952.30999999997</v>
      </c>
      <c r="R5" s="15">
        <f>SUM(O5:Q5)</f>
        <v>460687.32999999996</v>
      </c>
      <c r="S5" s="15">
        <f>F5+J5+N5+R5</f>
        <v>2848859.5300000003</v>
      </c>
    </row>
    <row r="6" spans="1:19" x14ac:dyDescent="0.25">
      <c r="E6" s="27"/>
      <c r="F6" s="39"/>
      <c r="J6" s="39"/>
      <c r="N6" s="39"/>
      <c r="R6" s="39"/>
      <c r="S6" s="39"/>
    </row>
    <row r="7" spans="1:19" x14ac:dyDescent="0.25">
      <c r="A7" s="22" t="s">
        <v>11</v>
      </c>
      <c r="B7" s="22"/>
      <c r="D7" s="29"/>
      <c r="F7" s="39"/>
      <c r="J7" s="39"/>
      <c r="N7" s="39"/>
      <c r="R7" s="39"/>
      <c r="S7" s="39"/>
    </row>
    <row r="8" spans="1:19" ht="15.75" thickBot="1" x14ac:dyDescent="0.3">
      <c r="F8" s="39"/>
      <c r="J8" s="39"/>
      <c r="L8" s="5"/>
      <c r="N8" s="39"/>
      <c r="R8" s="39"/>
      <c r="S8" s="39"/>
    </row>
    <row r="9" spans="1:19" ht="15.75" thickBot="1" x14ac:dyDescent="0.3">
      <c r="A9" t="s">
        <v>6</v>
      </c>
      <c r="C9" s="1">
        <v>602562</v>
      </c>
      <c r="D9" s="1">
        <v>514389</v>
      </c>
      <c r="E9" s="10">
        <v>520571</v>
      </c>
      <c r="F9" s="12">
        <f>SUM(C9:E9)</f>
        <v>1637522</v>
      </c>
      <c r="G9" s="11">
        <v>721398</v>
      </c>
      <c r="H9" s="1">
        <v>614469</v>
      </c>
      <c r="I9" s="10">
        <v>347115</v>
      </c>
      <c r="J9" s="12">
        <f>SUM(G9:I9)</f>
        <v>1682982</v>
      </c>
      <c r="K9" s="11">
        <v>359756</v>
      </c>
      <c r="L9" s="1">
        <v>363512</v>
      </c>
      <c r="M9" s="10">
        <v>268642</v>
      </c>
      <c r="N9" s="12">
        <f>SUM(K9:M9)</f>
        <v>991910</v>
      </c>
      <c r="O9" s="10">
        <v>351602</v>
      </c>
      <c r="P9" s="1">
        <v>410498</v>
      </c>
      <c r="Q9" s="10">
        <v>481340</v>
      </c>
      <c r="R9" s="12">
        <f>SUM(O9:Q9)</f>
        <v>1243440</v>
      </c>
      <c r="S9" s="12">
        <f>F9+J9+N9+R9</f>
        <v>5555854</v>
      </c>
    </row>
    <row r="10" spans="1:19" ht="15.75" thickBot="1" x14ac:dyDescent="0.3">
      <c r="A10" t="s">
        <v>15</v>
      </c>
      <c r="C10" s="13">
        <v>27183.97</v>
      </c>
      <c r="D10" s="13">
        <v>23530.76</v>
      </c>
      <c r="E10" s="14">
        <v>23987.96</v>
      </c>
      <c r="F10" s="15">
        <f>SUM(C10:E10)</f>
        <v>74702.69</v>
      </c>
      <c r="G10" s="16">
        <v>32603.19</v>
      </c>
      <c r="H10" s="13">
        <v>28363.599999999999</v>
      </c>
      <c r="I10" s="14">
        <v>17558.64</v>
      </c>
      <c r="J10" s="15">
        <f>SUM(G10:I10)</f>
        <v>78525.429999999993</v>
      </c>
      <c r="K10" s="16">
        <v>18190.28</v>
      </c>
      <c r="L10" s="13">
        <v>18377.259999999998</v>
      </c>
      <c r="M10" s="14">
        <v>14161</v>
      </c>
      <c r="N10" s="15">
        <f>SUM(K10:M10)</f>
        <v>50728.539999999994</v>
      </c>
      <c r="O10" s="14">
        <v>17588.689999999999</v>
      </c>
      <c r="P10" s="13">
        <v>20041.11</v>
      </c>
      <c r="Q10" s="14">
        <v>23527.78</v>
      </c>
      <c r="R10" s="15">
        <f>SUM(O10:Q10)</f>
        <v>61157.58</v>
      </c>
      <c r="S10" s="15">
        <f>F10+J10+N10+R10</f>
        <v>265114.23999999999</v>
      </c>
    </row>
    <row r="11" spans="1:19" ht="15.75" thickBot="1" x14ac:dyDescent="0.3">
      <c r="A11" t="s">
        <v>23</v>
      </c>
      <c r="C11" s="13">
        <f>+C10/C9</f>
        <v>4.5113979972185435E-2</v>
      </c>
      <c r="D11" s="13">
        <f t="shared" ref="D11:S11" si="0">+D10/D9</f>
        <v>4.5745068420981007E-2</v>
      </c>
      <c r="E11" s="14">
        <f t="shared" si="0"/>
        <v>4.6080092821152156E-2</v>
      </c>
      <c r="F11" s="15">
        <f t="shared" si="0"/>
        <v>4.5619350457581642E-2</v>
      </c>
      <c r="G11" s="16">
        <f t="shared" si="0"/>
        <v>4.519445576505618E-2</v>
      </c>
      <c r="H11" s="13">
        <f t="shared" si="0"/>
        <v>4.6159529610118655E-2</v>
      </c>
      <c r="I11" s="13">
        <f t="shared" si="0"/>
        <v>5.0584503694740934E-2</v>
      </c>
      <c r="J11" s="15">
        <f t="shared" si="0"/>
        <v>4.6658508528314616E-2</v>
      </c>
      <c r="K11" s="13">
        <f t="shared" si="0"/>
        <v>5.056282591534262E-2</v>
      </c>
      <c r="L11" s="13">
        <f t="shared" si="0"/>
        <v>5.0554754726116327E-2</v>
      </c>
      <c r="M11" s="13">
        <f t="shared" si="0"/>
        <v>5.2713276405029742E-2</v>
      </c>
      <c r="N11" s="15">
        <f t="shared" si="0"/>
        <v>5.1142281053724627E-2</v>
      </c>
      <c r="O11" s="13">
        <f t="shared" si="0"/>
        <v>5.0024431032815508E-2</v>
      </c>
      <c r="P11" s="13">
        <f t="shared" si="0"/>
        <v>4.8821455890162679E-2</v>
      </c>
      <c r="Q11" s="13">
        <f t="shared" si="0"/>
        <v>4.8879752358000579E-2</v>
      </c>
      <c r="R11" s="15">
        <f t="shared" si="0"/>
        <v>4.9184182590233549E-2</v>
      </c>
      <c r="S11" s="15">
        <f t="shared" si="0"/>
        <v>4.7717999789051328E-2</v>
      </c>
    </row>
    <row r="12" spans="1:19" ht="15.75" thickBot="1" x14ac:dyDescent="0.3">
      <c r="F12" s="39"/>
      <c r="J12" s="39"/>
      <c r="K12" s="27"/>
      <c r="N12" s="39"/>
      <c r="R12" s="39"/>
      <c r="S12" s="39"/>
    </row>
    <row r="13" spans="1:19" ht="15.75" thickBot="1" x14ac:dyDescent="0.3">
      <c r="A13" t="s">
        <v>14</v>
      </c>
      <c r="B13" t="s">
        <v>6</v>
      </c>
      <c r="C13" s="1">
        <f t="shared" ref="C13:S13" si="1">+C9/C4</f>
        <v>54778.36363636364</v>
      </c>
      <c r="D13" s="1">
        <f t="shared" si="1"/>
        <v>51438.9</v>
      </c>
      <c r="E13" s="10">
        <f t="shared" si="1"/>
        <v>52057.1</v>
      </c>
      <c r="F13" s="12">
        <f t="shared" si="1"/>
        <v>52823.290322580644</v>
      </c>
      <c r="G13" s="11">
        <f t="shared" si="1"/>
        <v>45087.375</v>
      </c>
      <c r="H13" s="1">
        <f t="shared" si="1"/>
        <v>38404.3125</v>
      </c>
      <c r="I13" s="1">
        <f t="shared" si="1"/>
        <v>43389.375</v>
      </c>
      <c r="J13" s="12">
        <f t="shared" si="1"/>
        <v>42074.55</v>
      </c>
      <c r="K13" s="1">
        <f t="shared" si="1"/>
        <v>44969.5</v>
      </c>
      <c r="L13" s="1">
        <f t="shared" si="1"/>
        <v>36351.199999999997</v>
      </c>
      <c r="M13" s="1">
        <f t="shared" si="1"/>
        <v>38377.428571428572</v>
      </c>
      <c r="N13" s="12">
        <f t="shared" si="1"/>
        <v>39676.400000000001</v>
      </c>
      <c r="O13" s="1">
        <f t="shared" si="1"/>
        <v>87900.5</v>
      </c>
      <c r="P13" s="1">
        <f t="shared" si="1"/>
        <v>58642.571428571428</v>
      </c>
      <c r="Q13" s="1">
        <f t="shared" si="1"/>
        <v>53482.222222222219</v>
      </c>
      <c r="R13" s="12">
        <f t="shared" si="1"/>
        <v>62172</v>
      </c>
      <c r="S13" s="12">
        <f t="shared" si="1"/>
        <v>47895.293103448275</v>
      </c>
    </row>
    <row r="14" spans="1:19" ht="15.75" thickBot="1" x14ac:dyDescent="0.3">
      <c r="A14" t="s">
        <v>14</v>
      </c>
      <c r="B14" t="s">
        <v>10</v>
      </c>
      <c r="C14" s="13">
        <f t="shared" ref="C14:S14" si="2">+C10/C4</f>
        <v>2471.27</v>
      </c>
      <c r="D14" s="13">
        <f t="shared" si="2"/>
        <v>2353.076</v>
      </c>
      <c r="E14" s="14">
        <f t="shared" si="2"/>
        <v>2398.7959999999998</v>
      </c>
      <c r="F14" s="15">
        <f t="shared" si="2"/>
        <v>2409.7641935483871</v>
      </c>
      <c r="G14" s="16">
        <f t="shared" si="2"/>
        <v>2037.6993749999999</v>
      </c>
      <c r="H14" s="13">
        <f t="shared" si="2"/>
        <v>1772.7249999999999</v>
      </c>
      <c r="I14" s="13">
        <f t="shared" si="2"/>
        <v>2194.83</v>
      </c>
      <c r="J14" s="15">
        <f t="shared" si="2"/>
        <v>1963.1357499999999</v>
      </c>
      <c r="K14" s="13">
        <f t="shared" si="2"/>
        <v>2273.7849999999999</v>
      </c>
      <c r="L14" s="13">
        <f t="shared" si="2"/>
        <v>1837.7259999999999</v>
      </c>
      <c r="M14" s="13">
        <f t="shared" si="2"/>
        <v>2023</v>
      </c>
      <c r="N14" s="15">
        <f t="shared" si="2"/>
        <v>2029.1415999999997</v>
      </c>
      <c r="O14" s="13">
        <f t="shared" si="2"/>
        <v>4397.1724999999997</v>
      </c>
      <c r="P14" s="13">
        <f t="shared" si="2"/>
        <v>2863.0157142857142</v>
      </c>
      <c r="Q14" s="13">
        <f t="shared" si="2"/>
        <v>2614.1977777777774</v>
      </c>
      <c r="R14" s="15">
        <f t="shared" si="2"/>
        <v>3057.8789999999999</v>
      </c>
      <c r="S14" s="15">
        <f t="shared" si="2"/>
        <v>2285.4675862068966</v>
      </c>
    </row>
    <row r="15" spans="1:19" ht="15.75" thickBot="1" x14ac:dyDescent="0.3">
      <c r="A15" t="s">
        <v>20</v>
      </c>
      <c r="B15" t="s">
        <v>6</v>
      </c>
      <c r="C15" s="30">
        <f>+C9/C5</f>
        <v>2.3083951427935485</v>
      </c>
      <c r="D15" s="30">
        <f t="shared" ref="D15:R15" si="3">+D9/D5</f>
        <v>2.5158368075187174</v>
      </c>
      <c r="E15" s="33">
        <f t="shared" si="3"/>
        <v>2.263228188368811</v>
      </c>
      <c r="F15" s="31">
        <f t="shared" si="3"/>
        <v>2.3544403861546672</v>
      </c>
      <c r="G15" s="36">
        <f t="shared" si="3"/>
        <v>1.4349214381318203</v>
      </c>
      <c r="H15" s="30">
        <f t="shared" si="3"/>
        <v>1.362002663852532</v>
      </c>
      <c r="I15" s="30">
        <f t="shared" si="3"/>
        <v>1.625016970417636</v>
      </c>
      <c r="J15" s="31">
        <f t="shared" si="3"/>
        <v>1.4415238689098606</v>
      </c>
      <c r="K15" s="30">
        <f t="shared" si="3"/>
        <v>1.9747369622876818</v>
      </c>
      <c r="L15" s="30">
        <f t="shared" si="3"/>
        <v>1.7938551017578213</v>
      </c>
      <c r="M15" s="30">
        <f t="shared" si="3"/>
        <v>1.9141625886034641</v>
      </c>
      <c r="N15" s="31">
        <f t="shared" si="3"/>
        <v>1.8887533763101798</v>
      </c>
      <c r="O15" s="30">
        <f t="shared" si="3"/>
        <v>3.6589609692236928</v>
      </c>
      <c r="P15" s="30">
        <f t="shared" si="3"/>
        <v>2.478229807218741</v>
      </c>
      <c r="Q15" s="30">
        <f t="shared" si="3"/>
        <v>2.4193737685176919</v>
      </c>
      <c r="R15" s="31">
        <f t="shared" si="3"/>
        <v>2.6990974551004041</v>
      </c>
      <c r="S15" s="31">
        <f>+S9/S5</f>
        <v>1.9502028588963105</v>
      </c>
    </row>
    <row r="16" spans="1:19" ht="15.75" thickBot="1" x14ac:dyDescent="0.3">
      <c r="A16" t="s">
        <v>19</v>
      </c>
      <c r="B16" t="s">
        <v>10</v>
      </c>
      <c r="C16" s="25">
        <f t="shared" ref="C16:S16" si="4">+C10/C5</f>
        <v>0.1041408922398783</v>
      </c>
      <c r="D16" s="25">
        <f t="shared" si="4"/>
        <v>0.11508712689596615</v>
      </c>
      <c r="E16" s="34">
        <f t="shared" si="4"/>
        <v>0.10428976499548286</v>
      </c>
      <c r="F16" s="26">
        <f t="shared" si="4"/>
        <v>0.10740804110747361</v>
      </c>
      <c r="G16" s="37">
        <f t="shared" si="4"/>
        <v>6.4850493461979353E-2</v>
      </c>
      <c r="H16" s="25">
        <f t="shared" si="4"/>
        <v>6.2869402291161433E-2</v>
      </c>
      <c r="I16" s="25">
        <f t="shared" si="4"/>
        <v>8.220067694410764E-2</v>
      </c>
      <c r="J16" s="26">
        <f t="shared" si="4"/>
        <v>6.7259353731299806E-2</v>
      </c>
      <c r="K16" s="25">
        <f t="shared" si="4"/>
        <v>9.9848281252744558E-2</v>
      </c>
      <c r="L16" s="25">
        <f t="shared" si="4"/>
        <v>9.0687904683559098E-2</v>
      </c>
      <c r="M16" s="25">
        <f t="shared" si="4"/>
        <v>0.10090178161722164</v>
      </c>
      <c r="N16" s="26">
        <f t="shared" si="4"/>
        <v>9.659515601242652E-2</v>
      </c>
      <c r="O16" s="25">
        <f t="shared" si="4"/>
        <v>0.18303744065669442</v>
      </c>
      <c r="P16" s="25">
        <f t="shared" si="4"/>
        <v>0.12099078721881612</v>
      </c>
      <c r="Q16" s="25">
        <f t="shared" si="4"/>
        <v>0.1182583906665874</v>
      </c>
      <c r="R16" s="26">
        <f t="shared" si="4"/>
        <v>0.13275290206049298</v>
      </c>
      <c r="S16" s="26">
        <f t="shared" si="4"/>
        <v>9.3059779609421453E-2</v>
      </c>
    </row>
    <row r="18" spans="1:23" ht="15.75" thickBot="1" x14ac:dyDescent="0.3">
      <c r="A18" s="22" t="s">
        <v>12</v>
      </c>
      <c r="B18" s="22"/>
      <c r="C18">
        <f>+F19/F5*C5</f>
        <v>8739.5090496283483</v>
      </c>
      <c r="D18">
        <f>+F19/F5*D5</f>
        <v>6845.4917988214875</v>
      </c>
      <c r="E18">
        <f>+F19/F5*E5</f>
        <v>7700.9991515501642</v>
      </c>
    </row>
    <row r="19" spans="1:23" ht="15.75" thickBot="1" x14ac:dyDescent="0.3">
      <c r="A19" t="s">
        <v>1</v>
      </c>
      <c r="C19" s="60">
        <f>(23285+1)/F5*C5</f>
        <v>8739.5090496283483</v>
      </c>
      <c r="D19" s="60">
        <f>(23285+1)/F5*D5</f>
        <v>6845.4917988214875</v>
      </c>
      <c r="E19" s="60">
        <f>(23285+1)/F5*E5</f>
        <v>7700.9991515501642</v>
      </c>
      <c r="F19" s="12">
        <v>23286</v>
      </c>
      <c r="G19" s="60">
        <f>(27084+30+30)/J5*G5</f>
        <v>11688.614170768014</v>
      </c>
      <c r="H19" s="60">
        <f>(27084+30+30)/J5*H5</f>
        <v>10489.100197173109</v>
      </c>
      <c r="I19" s="60">
        <f>(27084+30+30)/J5*I5</f>
        <v>4966.2856320588744</v>
      </c>
      <c r="J19" s="12">
        <f>27084+30+30</f>
        <v>27144</v>
      </c>
      <c r="K19" s="60">
        <f>(18184+30+30)/N5*K5</f>
        <v>6328.806816124028</v>
      </c>
      <c r="L19" s="60">
        <f>(18184+30+30)/N5*L5</f>
        <v>7039.7046795635279</v>
      </c>
      <c r="M19" s="60">
        <f>(18184+30+30)/N5*M5</f>
        <v>4875.4885043124414</v>
      </c>
      <c r="N19" s="12">
        <f>18184+30+30</f>
        <v>18244</v>
      </c>
      <c r="O19" s="60">
        <f>(12656+30+30)/R5*O5</f>
        <v>2652.3926203917958</v>
      </c>
      <c r="P19" s="60">
        <f>(12656+30+30)/R5*P5</f>
        <v>4572.0789410900461</v>
      </c>
      <c r="Q19" s="60">
        <f>(12656+30+30)/R5*Q5</f>
        <v>5491.5284385181594</v>
      </c>
      <c r="R19" s="12">
        <f>12656+30+30</f>
        <v>12716</v>
      </c>
      <c r="S19" s="12">
        <f>F19+J19+N19+R19</f>
        <v>81390</v>
      </c>
    </row>
    <row r="20" spans="1:23" ht="15.75" thickBot="1" x14ac:dyDescent="0.3">
      <c r="A20" t="s">
        <v>15</v>
      </c>
      <c r="C20" s="61">
        <f>+C19*1.1+(C19*1.1)*1.4</f>
        <v>23072.303891018841</v>
      </c>
      <c r="D20" s="61">
        <f>+D19*1.1+(D19*1.1)*1.4</f>
        <v>18072.098348888729</v>
      </c>
      <c r="E20" s="61">
        <f>+F20-C20-D20</f>
        <v>19721.997760092432</v>
      </c>
      <c r="F20" s="15">
        <f>25331+35463.4+36+36</f>
        <v>60866.400000000001</v>
      </c>
      <c r="G20" s="61">
        <f>+G19*1.1+(G19*1.1)*1.4</f>
        <v>30857.94141082756</v>
      </c>
      <c r="H20" s="61">
        <f>+H19*1.1+(H19*1.1)*1.4</f>
        <v>27691.224520537013</v>
      </c>
      <c r="I20" s="61">
        <f>+J20-G20-H20</f>
        <v>12346.594068635422</v>
      </c>
      <c r="J20" s="15">
        <f>70823.76+36+36</f>
        <v>70895.759999999995</v>
      </c>
      <c r="K20" s="61">
        <f>+N20/N19*K19</f>
        <v>19002.575487476828</v>
      </c>
      <c r="L20" s="61">
        <f>+N20/N19*L19</f>
        <v>21137.083729927555</v>
      </c>
      <c r="M20" s="61">
        <f>+N20/N19*M19</f>
        <v>14638.910782595614</v>
      </c>
      <c r="N20" s="15">
        <f>54706.57+36+36</f>
        <v>54778.57</v>
      </c>
      <c r="O20" s="61">
        <f>(32733.84+36+36)/$R$19*O19</f>
        <v>6842.8725952936447</v>
      </c>
      <c r="P20" s="61">
        <f t="shared" ref="P20:Q20" si="5">(32733.84+36+36)/$R$19*P19</f>
        <v>11795.44591135337</v>
      </c>
      <c r="Q20" s="61">
        <f t="shared" si="5"/>
        <v>14167.521493352984</v>
      </c>
      <c r="R20" s="15">
        <v>32793.839999999997</v>
      </c>
      <c r="S20" s="15">
        <f>F20+J20+N20+R20</f>
        <v>219334.57</v>
      </c>
    </row>
    <row r="21" spans="1:23" ht="15.75" thickBot="1" x14ac:dyDescent="0.3"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</row>
    <row r="22" spans="1:23" ht="15.75" thickBot="1" x14ac:dyDescent="0.3">
      <c r="A22" t="s">
        <v>14</v>
      </c>
      <c r="B22" t="s">
        <v>1</v>
      </c>
      <c r="C22" s="45">
        <f t="shared" ref="C22:H22" si="6">+C19/C4</f>
        <v>794.50082269348616</v>
      </c>
      <c r="D22" s="45">
        <f t="shared" si="6"/>
        <v>684.54917988214879</v>
      </c>
      <c r="E22" s="45">
        <f t="shared" si="6"/>
        <v>770.09991515501645</v>
      </c>
      <c r="F22" s="15">
        <f t="shared" si="6"/>
        <v>751.16129032258061</v>
      </c>
      <c r="G22" s="51">
        <f t="shared" si="6"/>
        <v>730.5383856730009</v>
      </c>
      <c r="H22" s="51">
        <f t="shared" si="6"/>
        <v>655.56876232331933</v>
      </c>
      <c r="I22" s="51">
        <f t="shared" ref="I22:K22" si="7">+I19/I4</f>
        <v>620.7857040073593</v>
      </c>
      <c r="J22" s="15">
        <f>+J19/J4</f>
        <v>678.6</v>
      </c>
      <c r="K22" s="51">
        <f t="shared" si="7"/>
        <v>791.10085201550351</v>
      </c>
      <c r="L22" s="51">
        <f t="shared" ref="L22:M22" si="8">+L19/L4</f>
        <v>703.97046795635276</v>
      </c>
      <c r="M22" s="51">
        <f t="shared" si="8"/>
        <v>696.49835775892018</v>
      </c>
      <c r="N22" s="15">
        <f>+N19/N4</f>
        <v>729.76</v>
      </c>
      <c r="O22" s="51">
        <f t="shared" ref="O22:P22" si="9">+O19/O4</f>
        <v>663.09815509794896</v>
      </c>
      <c r="P22" s="51">
        <f t="shared" si="9"/>
        <v>653.15413444143519</v>
      </c>
      <c r="Q22" s="51">
        <f t="shared" ref="Q22" si="10">+Q19/Q4</f>
        <v>610.16982650201771</v>
      </c>
      <c r="R22" s="15">
        <f>+R19/R4</f>
        <v>635.79999999999995</v>
      </c>
      <c r="S22" s="15">
        <f>+S19/S4</f>
        <v>701.63793103448279</v>
      </c>
    </row>
    <row r="23" spans="1:23" ht="15.75" thickBot="1" x14ac:dyDescent="0.3">
      <c r="A23" t="s">
        <v>14</v>
      </c>
      <c r="B23" t="s">
        <v>10</v>
      </c>
      <c r="C23" s="47">
        <f t="shared" ref="C23:H23" si="11">+C20/C4</f>
        <v>2097.4821719108036</v>
      </c>
      <c r="D23" s="47">
        <f t="shared" si="11"/>
        <v>1807.2098348888728</v>
      </c>
      <c r="E23" s="47">
        <f t="shared" si="11"/>
        <v>1972.1997760092431</v>
      </c>
      <c r="F23" s="15">
        <f t="shared" si="11"/>
        <v>1963.4322580645162</v>
      </c>
      <c r="G23" s="52">
        <f t="shared" si="11"/>
        <v>1928.6213381767225</v>
      </c>
      <c r="H23" s="52">
        <f t="shared" si="11"/>
        <v>1730.7015325335633</v>
      </c>
      <c r="I23" s="52">
        <f t="shared" ref="I23:K23" si="12">+I20/I4</f>
        <v>1543.3242585794278</v>
      </c>
      <c r="J23" s="15">
        <f>+J20/J4</f>
        <v>1772.3939999999998</v>
      </c>
      <c r="K23" s="52">
        <f t="shared" si="12"/>
        <v>2375.3219359346035</v>
      </c>
      <c r="L23" s="52">
        <f t="shared" ref="L23:M23" si="13">+L20/L4</f>
        <v>2113.7083729927554</v>
      </c>
      <c r="M23" s="52">
        <f t="shared" si="13"/>
        <v>2091.2729689422308</v>
      </c>
      <c r="N23" s="15">
        <f>+N20/N4</f>
        <v>2191.1428000000001</v>
      </c>
      <c r="O23" s="52">
        <f t="shared" ref="O23:P23" si="14">+O20/O4</f>
        <v>1710.7181488234112</v>
      </c>
      <c r="P23" s="52">
        <f t="shared" si="14"/>
        <v>1685.06370162191</v>
      </c>
      <c r="Q23" s="52">
        <f t="shared" ref="Q23" si="15">+Q20/Q4</f>
        <v>1574.1690548169981</v>
      </c>
      <c r="R23" s="15">
        <f>+R20/R4</f>
        <v>1639.6919999999998</v>
      </c>
      <c r="S23" s="15">
        <f>+S20/S4</f>
        <v>1890.8152586206897</v>
      </c>
    </row>
    <row r="24" spans="1:23" ht="15.75" thickBot="1" x14ac:dyDescent="0.3">
      <c r="A24" t="s">
        <v>21</v>
      </c>
      <c r="B24" t="s">
        <v>1</v>
      </c>
      <c r="C24" s="50">
        <f t="shared" ref="C24:H24" si="16">+C19/C5</f>
        <v>3.3480770842771936E-2</v>
      </c>
      <c r="D24" s="50">
        <f t="shared" si="16"/>
        <v>3.3480770842771936E-2</v>
      </c>
      <c r="E24" s="50">
        <f t="shared" si="16"/>
        <v>3.3480770842771936E-2</v>
      </c>
      <c r="F24" s="31">
        <f t="shared" si="16"/>
        <v>3.3480770842771936E-2</v>
      </c>
      <c r="G24" s="53">
        <f t="shared" si="16"/>
        <v>2.3249638972781202E-2</v>
      </c>
      <c r="H24" s="53">
        <f t="shared" si="16"/>
        <v>2.3249638972781202E-2</v>
      </c>
      <c r="I24" s="53">
        <f t="shared" ref="I24:K24" si="17">+I19/I5</f>
        <v>2.3249638972781202E-2</v>
      </c>
      <c r="J24" s="31">
        <f>+J19/J5</f>
        <v>2.3249638972781202E-2</v>
      </c>
      <c r="K24" s="53">
        <f t="shared" si="17"/>
        <v>3.4739458819250654E-2</v>
      </c>
      <c r="L24" s="53">
        <f t="shared" ref="L24:M24" si="18">+L19/L5</f>
        <v>3.4739458819250654E-2</v>
      </c>
      <c r="M24" s="53">
        <f t="shared" si="18"/>
        <v>3.4739458819250654E-2</v>
      </c>
      <c r="N24" s="31">
        <f>+N19/N5</f>
        <v>3.4739458819250654E-2</v>
      </c>
      <c r="O24" s="53">
        <f t="shared" ref="O24:P24" si="19">+O19/O5</f>
        <v>2.7602235121161247E-2</v>
      </c>
      <c r="P24" s="53">
        <f t="shared" si="19"/>
        <v>2.7602235121161247E-2</v>
      </c>
      <c r="Q24" s="53">
        <f t="shared" ref="Q24" si="20">+Q19/Q5</f>
        <v>2.7602235121161247E-2</v>
      </c>
      <c r="R24" s="31">
        <f>+R19/R5</f>
        <v>2.7602235121161247E-2</v>
      </c>
      <c r="S24" s="31">
        <f>+S19/S5</f>
        <v>2.8569327179146665E-2</v>
      </c>
    </row>
    <row r="25" spans="1:23" ht="15.75" thickBot="1" x14ac:dyDescent="0.3">
      <c r="A25" t="s">
        <v>19</v>
      </c>
      <c r="B25" t="s">
        <v>10</v>
      </c>
      <c r="C25" s="50">
        <f t="shared" ref="C25:H25" si="21">+C20/C5</f>
        <v>8.8389235024917912E-2</v>
      </c>
      <c r="D25" s="50">
        <f t="shared" si="21"/>
        <v>8.8389235024917912E-2</v>
      </c>
      <c r="E25" s="50">
        <f t="shared" si="21"/>
        <v>8.5743119116485064E-2</v>
      </c>
      <c r="F25" s="26">
        <f t="shared" si="21"/>
        <v>8.7514128249785009E-2</v>
      </c>
      <c r="G25" s="53">
        <f t="shared" si="21"/>
        <v>6.1379046888142379E-2</v>
      </c>
      <c r="H25" s="53">
        <f t="shared" si="21"/>
        <v>6.1379046888142386E-2</v>
      </c>
      <c r="I25" s="53">
        <f t="shared" ref="I25:K25" si="22">+I20/I5</f>
        <v>5.7800512476816876E-2</v>
      </c>
      <c r="J25" s="26">
        <f>+J20/J5</f>
        <v>6.0724315675690484E-2</v>
      </c>
      <c r="K25" s="53">
        <f t="shared" si="22"/>
        <v>0.10430705309649417</v>
      </c>
      <c r="L25" s="53">
        <f t="shared" ref="L25:M25" si="23">+L20/L5</f>
        <v>0.10430705309649416</v>
      </c>
      <c r="M25" s="53">
        <f t="shared" si="23"/>
        <v>0.10430705309649416</v>
      </c>
      <c r="N25" s="26">
        <f>+N20/N5</f>
        <v>0.10430705309649416</v>
      </c>
      <c r="O25" s="53">
        <f t="shared" ref="O25:P25" si="24">+O20/O5</f>
        <v>7.1210640848316797E-2</v>
      </c>
      <c r="P25" s="53">
        <f t="shared" si="24"/>
        <v>7.1210640848316797E-2</v>
      </c>
      <c r="Q25" s="53">
        <f t="shared" ref="Q25" si="25">+Q20/Q5</f>
        <v>7.1210640848316797E-2</v>
      </c>
      <c r="R25" s="26">
        <f>+R20/R5</f>
        <v>7.1184592812656683E-2</v>
      </c>
      <c r="S25" s="26">
        <f>+S20/S5</f>
        <v>7.6990307065087193E-2</v>
      </c>
    </row>
    <row r="26" spans="1:23" x14ac:dyDescent="0.25">
      <c r="C26" s="27">
        <f>+$F$25*C5</f>
        <v>22843.874156931157</v>
      </c>
      <c r="D26" s="27">
        <f t="shared" ref="D26:E26" si="26">+$F$25*D5</f>
        <v>17893.173667602347</v>
      </c>
      <c r="E26" s="27">
        <f t="shared" si="26"/>
        <v>20129.352175466498</v>
      </c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ht="15.75" thickBot="1" x14ac:dyDescent="0.3">
      <c r="A27" s="22" t="s">
        <v>13</v>
      </c>
      <c r="B27" s="22"/>
    </row>
    <row r="28" spans="1:23" ht="15.75" thickBot="1" x14ac:dyDescent="0.3">
      <c r="A28" t="s">
        <v>6</v>
      </c>
      <c r="C28" s="1">
        <v>273857</v>
      </c>
      <c r="D28" s="1">
        <v>250287</v>
      </c>
      <c r="E28" s="10">
        <v>262114</v>
      </c>
      <c r="F28" s="12">
        <f>SUM(C28:E28)</f>
        <v>786258</v>
      </c>
      <c r="G28" s="11">
        <v>356585</v>
      </c>
      <c r="H28" s="1">
        <v>353147</v>
      </c>
      <c r="I28" s="10">
        <v>251760</v>
      </c>
      <c r="J28" s="12">
        <f>SUM(G28:I28)</f>
        <v>961492</v>
      </c>
      <c r="K28" s="11">
        <v>278823</v>
      </c>
      <c r="L28" s="1">
        <v>293135</v>
      </c>
      <c r="M28" s="1">
        <v>227228</v>
      </c>
      <c r="N28" s="12">
        <f>SUM(K28:M28)</f>
        <v>799186</v>
      </c>
      <c r="O28" s="10">
        <v>216621</v>
      </c>
      <c r="P28" s="1">
        <v>224073</v>
      </c>
      <c r="Q28" s="1">
        <v>231023</v>
      </c>
      <c r="R28" s="12">
        <f>SUM(O28:Q28)</f>
        <v>671717</v>
      </c>
      <c r="S28" s="12">
        <f>F28+J28+N28+R28</f>
        <v>3218653</v>
      </c>
    </row>
    <row r="29" spans="1:23" ht="15.75" thickBot="1" x14ac:dyDescent="0.3">
      <c r="A29" t="s">
        <v>15</v>
      </c>
      <c r="C29" s="13">
        <v>37922.42</v>
      </c>
      <c r="D29" s="13">
        <v>25416.720000000001</v>
      </c>
      <c r="E29" s="14">
        <v>19458.150000000001</v>
      </c>
      <c r="F29" s="15">
        <f>SUM(C29:E29)</f>
        <v>82797.290000000008</v>
      </c>
      <c r="G29" s="14">
        <v>21178.9</v>
      </c>
      <c r="H29" s="13">
        <v>25988.34</v>
      </c>
      <c r="I29" s="14">
        <v>28197.31</v>
      </c>
      <c r="J29" s="15">
        <f>SUM(G29:I29)</f>
        <v>75364.55</v>
      </c>
      <c r="K29" s="16">
        <v>39380.1</v>
      </c>
      <c r="L29" s="13">
        <v>43369.32</v>
      </c>
      <c r="M29" s="13">
        <v>29359.119999999999</v>
      </c>
      <c r="N29" s="15">
        <f>SUM(K29:M29)</f>
        <v>112108.54</v>
      </c>
      <c r="O29" s="14">
        <v>28472.75</v>
      </c>
      <c r="P29" s="14">
        <v>39684.54</v>
      </c>
      <c r="Q29" s="14">
        <v>44225.55</v>
      </c>
      <c r="R29" s="15">
        <f>SUM(O29:Q29)</f>
        <v>112382.84000000001</v>
      </c>
      <c r="S29" s="15">
        <f>F29+J29+N29+R29</f>
        <v>382653.22000000003</v>
      </c>
    </row>
    <row r="30" spans="1:23" ht="15.75" thickBot="1" x14ac:dyDescent="0.3">
      <c r="A30" t="s">
        <v>23</v>
      </c>
      <c r="C30" s="13">
        <f>+C29/C28</f>
        <v>0.13847526263706972</v>
      </c>
      <c r="D30" s="13">
        <f t="shared" ref="D30:S30" si="27">+D29/D28</f>
        <v>0.10155030025530691</v>
      </c>
      <c r="E30" s="14">
        <f t="shared" si="27"/>
        <v>7.423544717184126E-2</v>
      </c>
      <c r="F30" s="15">
        <f t="shared" si="27"/>
        <v>0.10530549768651004</v>
      </c>
      <c r="G30" s="16">
        <f t="shared" si="27"/>
        <v>5.9393692948385382E-2</v>
      </c>
      <c r="H30" s="13">
        <f t="shared" si="27"/>
        <v>7.3590714348415812E-2</v>
      </c>
      <c r="I30" s="13">
        <f t="shared" si="27"/>
        <v>0.1120007546870035</v>
      </c>
      <c r="J30" s="15">
        <f t="shared" si="27"/>
        <v>7.8382919462668441E-2</v>
      </c>
      <c r="K30" s="13">
        <f t="shared" si="27"/>
        <v>0.14123691374097544</v>
      </c>
      <c r="L30" s="13">
        <f t="shared" si="27"/>
        <v>0.14794998891295819</v>
      </c>
      <c r="M30" s="13">
        <f t="shared" si="27"/>
        <v>0.12920555565335257</v>
      </c>
      <c r="N30" s="15">
        <f t="shared" si="27"/>
        <v>0.14027840828042532</v>
      </c>
      <c r="O30" s="13">
        <f t="shared" si="27"/>
        <v>0.13144039589882792</v>
      </c>
      <c r="P30" s="13">
        <f t="shared" si="27"/>
        <v>0.17710540761269766</v>
      </c>
      <c r="Q30" s="13">
        <f t="shared" si="27"/>
        <v>0.19143353692056636</v>
      </c>
      <c r="R30" s="15">
        <f t="shared" si="27"/>
        <v>0.16730682713106862</v>
      </c>
      <c r="S30" s="15">
        <f t="shared" si="27"/>
        <v>0.11888613652978436</v>
      </c>
      <c r="U30" s="27"/>
      <c r="W30" s="27"/>
    </row>
    <row r="31" spans="1:23" ht="15.75" thickBot="1" x14ac:dyDescent="0.3">
      <c r="C31" s="27"/>
      <c r="D31" s="27"/>
      <c r="F31" s="39"/>
      <c r="G31" s="27"/>
      <c r="I31" s="27"/>
      <c r="J31" s="39"/>
      <c r="N31" s="39"/>
      <c r="R31" s="39"/>
      <c r="S31" s="39"/>
    </row>
    <row r="32" spans="1:23" ht="15.75" thickBot="1" x14ac:dyDescent="0.3">
      <c r="A32" t="s">
        <v>14</v>
      </c>
      <c r="B32" t="s">
        <v>6</v>
      </c>
      <c r="C32" s="1">
        <f t="shared" ref="C32:S32" si="28">+C28/C4</f>
        <v>24896.090909090908</v>
      </c>
      <c r="D32" s="1">
        <f t="shared" si="28"/>
        <v>25028.7</v>
      </c>
      <c r="E32" s="10">
        <f t="shared" si="28"/>
        <v>26211.4</v>
      </c>
      <c r="F32" s="12">
        <f t="shared" si="28"/>
        <v>25363.16129032258</v>
      </c>
      <c r="G32" s="11">
        <f t="shared" si="28"/>
        <v>22286.5625</v>
      </c>
      <c r="H32" s="1">
        <f t="shared" si="28"/>
        <v>22071.6875</v>
      </c>
      <c r="I32" s="1">
        <f t="shared" si="28"/>
        <v>31470</v>
      </c>
      <c r="J32" s="12">
        <f t="shared" si="28"/>
        <v>24037.3</v>
      </c>
      <c r="K32" s="1">
        <f t="shared" si="28"/>
        <v>34852.875</v>
      </c>
      <c r="L32" s="1">
        <f t="shared" si="28"/>
        <v>29313.5</v>
      </c>
      <c r="M32" s="1">
        <f t="shared" si="28"/>
        <v>32461.142857142859</v>
      </c>
      <c r="N32" s="12">
        <f t="shared" si="28"/>
        <v>31967.439999999999</v>
      </c>
      <c r="O32" s="1">
        <f t="shared" si="28"/>
        <v>54155.25</v>
      </c>
      <c r="P32" s="1">
        <f t="shared" si="28"/>
        <v>32010.428571428572</v>
      </c>
      <c r="Q32" s="1">
        <f t="shared" si="28"/>
        <v>25669.222222222223</v>
      </c>
      <c r="R32" s="12">
        <f t="shared" si="28"/>
        <v>33585.85</v>
      </c>
      <c r="S32" s="12">
        <f t="shared" si="28"/>
        <v>27747.008620689656</v>
      </c>
    </row>
    <row r="33" spans="1:21" ht="15.75" thickBot="1" x14ac:dyDescent="0.3">
      <c r="A33" t="s">
        <v>14</v>
      </c>
      <c r="B33" t="s">
        <v>10</v>
      </c>
      <c r="C33" s="13">
        <f t="shared" ref="C33:S33" si="29">+C29/C4</f>
        <v>3447.4927272727273</v>
      </c>
      <c r="D33" s="13">
        <f t="shared" si="29"/>
        <v>2541.672</v>
      </c>
      <c r="E33" s="14">
        <f t="shared" si="29"/>
        <v>1945.8150000000001</v>
      </c>
      <c r="F33" s="15">
        <f t="shared" si="29"/>
        <v>2670.8803225806455</v>
      </c>
      <c r="G33" s="16">
        <f t="shared" si="29"/>
        <v>1323.6812500000001</v>
      </c>
      <c r="H33" s="13">
        <f t="shared" si="29"/>
        <v>1624.27125</v>
      </c>
      <c r="I33" s="13">
        <f t="shared" si="29"/>
        <v>3524.6637500000002</v>
      </c>
      <c r="J33" s="15">
        <f t="shared" si="29"/>
        <v>1884.11375</v>
      </c>
      <c r="K33" s="13">
        <f t="shared" si="29"/>
        <v>4922.5124999999998</v>
      </c>
      <c r="L33" s="13">
        <f t="shared" si="29"/>
        <v>4336.9319999999998</v>
      </c>
      <c r="M33" s="13">
        <f t="shared" si="29"/>
        <v>4194.16</v>
      </c>
      <c r="N33" s="15">
        <f t="shared" si="29"/>
        <v>4484.3415999999997</v>
      </c>
      <c r="O33" s="13">
        <f t="shared" si="29"/>
        <v>7118.1875</v>
      </c>
      <c r="P33" s="13">
        <f t="shared" si="29"/>
        <v>5669.22</v>
      </c>
      <c r="Q33" s="13">
        <f t="shared" si="29"/>
        <v>4913.9500000000007</v>
      </c>
      <c r="R33" s="15">
        <f t="shared" si="29"/>
        <v>5619.1420000000007</v>
      </c>
      <c r="S33" s="15">
        <f t="shared" si="29"/>
        <v>3298.734655172414</v>
      </c>
    </row>
    <row r="34" spans="1:21" ht="15.75" thickBot="1" x14ac:dyDescent="0.3">
      <c r="A34" t="s">
        <v>20</v>
      </c>
      <c r="B34" t="s">
        <v>6</v>
      </c>
      <c r="C34" s="30">
        <f t="shared" ref="C34:S34" si="30">+C28/C5</f>
        <v>1.049137132145759</v>
      </c>
      <c r="D34" s="30">
        <f t="shared" si="30"/>
        <v>1.224134355601378</v>
      </c>
      <c r="E34" s="33">
        <f t="shared" si="30"/>
        <v>1.1395636586865241</v>
      </c>
      <c r="F34" s="31">
        <f t="shared" si="30"/>
        <v>1.1304871562868752</v>
      </c>
      <c r="G34" s="36">
        <f t="shared" si="30"/>
        <v>0.70927762624270529</v>
      </c>
      <c r="H34" s="30">
        <f t="shared" si="30"/>
        <v>0.78276878855000021</v>
      </c>
      <c r="I34" s="30">
        <f t="shared" si="30"/>
        <v>1.1786130604334129</v>
      </c>
      <c r="J34" s="31">
        <f t="shared" si="30"/>
        <v>0.82354634081997291</v>
      </c>
      <c r="K34" s="30">
        <f t="shared" si="30"/>
        <v>1.5304875638931339</v>
      </c>
      <c r="L34" s="30">
        <f t="shared" si="30"/>
        <v>1.4465594402764668</v>
      </c>
      <c r="M34" s="30">
        <f t="shared" si="30"/>
        <v>1.6190742202752657</v>
      </c>
      <c r="N34" s="31">
        <f t="shared" si="30"/>
        <v>1.521776427095026</v>
      </c>
      <c r="O34" s="30">
        <f t="shared" si="30"/>
        <v>2.254275527767776</v>
      </c>
      <c r="P34" s="30">
        <f t="shared" si="30"/>
        <v>1.3527578394850277</v>
      </c>
      <c r="Q34" s="30">
        <f t="shared" si="30"/>
        <v>1.1611978770188698</v>
      </c>
      <c r="R34" s="31">
        <f t="shared" si="30"/>
        <v>1.4580756974584044</v>
      </c>
      <c r="S34" s="31">
        <f t="shared" si="30"/>
        <v>1.1298040377582252</v>
      </c>
    </row>
    <row r="35" spans="1:21" ht="15.75" thickBot="1" x14ac:dyDescent="0.3">
      <c r="A35" t="s">
        <v>19</v>
      </c>
      <c r="B35" t="s">
        <v>10</v>
      </c>
      <c r="C35" s="25">
        <f t="shared" ref="C35:S35" si="31">+C29/C5</f>
        <v>0.14527953991618608</v>
      </c>
      <c r="D35" s="25">
        <f t="shared" si="31"/>
        <v>0.12431121136415657</v>
      </c>
      <c r="E35" s="34">
        <f t="shared" si="31"/>
        <v>8.4596017783373612E-2</v>
      </c>
      <c r="F35" s="26">
        <f t="shared" si="31"/>
        <v>0.11904651262099684</v>
      </c>
      <c r="G35" s="37">
        <f t="shared" si="31"/>
        <v>4.2126617548218892E-2</v>
      </c>
      <c r="H35" s="25">
        <f t="shared" si="31"/>
        <v>5.7604514319038569E-2</v>
      </c>
      <c r="I35" s="25">
        <f t="shared" si="31"/>
        <v>0.1320055522525011</v>
      </c>
      <c r="J35" s="26">
        <f t="shared" si="31"/>
        <v>6.4551966506267225E-2</v>
      </c>
      <c r="K35" s="25">
        <f t="shared" si="31"/>
        <v>0.21616134004321022</v>
      </c>
      <c r="L35" s="25">
        <f t="shared" si="31"/>
        <v>0.21401845315083826</v>
      </c>
      <c r="M35" s="25">
        <f t="shared" si="31"/>
        <v>0.20919338427468429</v>
      </c>
      <c r="N35" s="26">
        <f t="shared" si="31"/>
        <v>0.21347237495156296</v>
      </c>
      <c r="O35" s="25">
        <f t="shared" si="31"/>
        <v>0.29630286783483573</v>
      </c>
      <c r="P35" s="25">
        <f t="shared" si="31"/>
        <v>0.23958072856326806</v>
      </c>
      <c r="Q35" s="25">
        <f t="shared" si="31"/>
        <v>0.22229221666237506</v>
      </c>
      <c r="R35" s="26">
        <f t="shared" si="31"/>
        <v>0.24394601865868554</v>
      </c>
      <c r="S35" s="26">
        <f t="shared" si="31"/>
        <v>0.13431803708482601</v>
      </c>
    </row>
    <row r="37" spans="1:21" ht="15.75" thickBot="1" x14ac:dyDescent="0.3">
      <c r="A37" s="22" t="s">
        <v>16</v>
      </c>
    </row>
    <row r="38" spans="1:21" ht="15.75" thickBot="1" x14ac:dyDescent="0.3">
      <c r="A38" t="s">
        <v>14</v>
      </c>
      <c r="B38" t="s">
        <v>10</v>
      </c>
      <c r="C38" s="1">
        <f t="shared" ref="C38:S38" si="32">IF(+C4&gt;0,+(C14+C23+C33),"")</f>
        <v>8016.2448991835308</v>
      </c>
      <c r="D38" s="13">
        <f t="shared" si="32"/>
        <v>6701.9578348888735</v>
      </c>
      <c r="E38" s="14">
        <f t="shared" si="32"/>
        <v>6316.8107760092425</v>
      </c>
      <c r="F38" s="15">
        <f t="shared" si="32"/>
        <v>7044.0767741935488</v>
      </c>
      <c r="G38" s="16">
        <f t="shared" si="32"/>
        <v>5290.0019631767227</v>
      </c>
      <c r="H38" s="13">
        <f t="shared" si="32"/>
        <v>5127.6977825335634</v>
      </c>
      <c r="I38" s="13">
        <f t="shared" si="32"/>
        <v>7262.8180085794284</v>
      </c>
      <c r="J38" s="15">
        <f t="shared" si="32"/>
        <v>5619.6435000000001</v>
      </c>
      <c r="K38" s="13">
        <f t="shared" si="32"/>
        <v>9571.6194359346046</v>
      </c>
      <c r="L38" s="13">
        <f t="shared" si="32"/>
        <v>8288.3663729927539</v>
      </c>
      <c r="M38" s="13">
        <f t="shared" si="32"/>
        <v>8308.4329689422302</v>
      </c>
      <c r="N38" s="15">
        <f t="shared" si="32"/>
        <v>8704.6260000000002</v>
      </c>
      <c r="O38" s="13">
        <f t="shared" si="32"/>
        <v>13226.07814882341</v>
      </c>
      <c r="P38" s="13">
        <f t="shared" si="32"/>
        <v>10217.299415907624</v>
      </c>
      <c r="Q38" s="13">
        <f t="shared" si="32"/>
        <v>9102.3168325947772</v>
      </c>
      <c r="R38" s="15">
        <f t="shared" si="32"/>
        <v>10316.713</v>
      </c>
      <c r="S38" s="15">
        <f t="shared" si="32"/>
        <v>7475.0175000000008</v>
      </c>
    </row>
    <row r="39" spans="1:21" ht="15.75" thickBot="1" x14ac:dyDescent="0.3">
      <c r="A39" t="s">
        <v>19</v>
      </c>
      <c r="B39" t="s">
        <v>10</v>
      </c>
      <c r="C39" s="23">
        <f t="shared" ref="C39:S39" si="33">+C16+C25+C35</f>
        <v>0.33780966718098226</v>
      </c>
      <c r="D39" s="23">
        <f t="shared" si="33"/>
        <v>0.3277875732850406</v>
      </c>
      <c r="E39" s="35">
        <f t="shared" si="33"/>
        <v>0.2746289018953415</v>
      </c>
      <c r="F39" s="24">
        <f t="shared" si="33"/>
        <v>0.31396868197825545</v>
      </c>
      <c r="G39" s="38">
        <f t="shared" si="33"/>
        <v>0.16835615789834063</v>
      </c>
      <c r="H39" s="23">
        <f t="shared" si="33"/>
        <v>0.1818529634983424</v>
      </c>
      <c r="I39" s="23">
        <f t="shared" si="33"/>
        <v>0.27200674167342564</v>
      </c>
      <c r="J39" s="24">
        <f t="shared" si="33"/>
        <v>0.19253563591325751</v>
      </c>
      <c r="K39" s="23">
        <f t="shared" si="33"/>
        <v>0.42031667439244891</v>
      </c>
      <c r="L39" s="23">
        <f t="shared" si="33"/>
        <v>0.4090134109308915</v>
      </c>
      <c r="M39" s="23">
        <f t="shared" si="33"/>
        <v>0.41440221898840013</v>
      </c>
      <c r="N39" s="24">
        <f t="shared" si="33"/>
        <v>0.41437458406048366</v>
      </c>
      <c r="O39" s="23">
        <f t="shared" si="33"/>
        <v>0.55055094933984694</v>
      </c>
      <c r="P39" s="23">
        <f t="shared" si="33"/>
        <v>0.43178215663040098</v>
      </c>
      <c r="Q39" s="23">
        <f t="shared" si="33"/>
        <v>0.41176124817727922</v>
      </c>
      <c r="R39" s="24">
        <f t="shared" si="33"/>
        <v>0.4478835135318352</v>
      </c>
      <c r="S39" s="24">
        <f t="shared" si="33"/>
        <v>0.30436812375933464</v>
      </c>
    </row>
    <row r="42" spans="1:21" ht="15.75" thickBot="1" x14ac:dyDescent="0.3">
      <c r="A42" s="22" t="s">
        <v>26</v>
      </c>
      <c r="B42" s="22"/>
    </row>
    <row r="43" spans="1:21" ht="15.75" thickBot="1" x14ac:dyDescent="0.3">
      <c r="A43" t="s">
        <v>6</v>
      </c>
      <c r="C43" s="1">
        <v>147830</v>
      </c>
      <c r="D43" s="1">
        <v>121520</v>
      </c>
      <c r="E43" s="10">
        <v>137920</v>
      </c>
      <c r="F43" s="12">
        <f>SUM(C43:E43)</f>
        <v>407270</v>
      </c>
      <c r="G43" s="11">
        <v>234240</v>
      </c>
      <c r="H43" s="1">
        <v>224290</v>
      </c>
      <c r="I43" s="10">
        <v>156590</v>
      </c>
      <c r="J43" s="12">
        <f>SUM(G43:I43)</f>
        <v>615120</v>
      </c>
      <c r="K43" s="11">
        <v>196160</v>
      </c>
      <c r="L43" s="1">
        <v>221490</v>
      </c>
      <c r="M43" s="1">
        <v>128490</v>
      </c>
      <c r="N43" s="12">
        <f>SUM(K43:M43)</f>
        <v>546140</v>
      </c>
      <c r="O43" s="10">
        <v>114820</v>
      </c>
      <c r="P43" s="1">
        <v>119050</v>
      </c>
      <c r="Q43" s="1">
        <v>108820</v>
      </c>
      <c r="R43" s="12">
        <f>SUM(O43:Q43)</f>
        <v>342690</v>
      </c>
      <c r="S43" s="12">
        <f>F43+J43+N43+R43</f>
        <v>1911220</v>
      </c>
      <c r="U43" s="5"/>
    </row>
    <row r="44" spans="1:21" ht="15.75" thickBot="1" x14ac:dyDescent="0.3">
      <c r="A44" t="s">
        <v>15</v>
      </c>
      <c r="C44" s="13">
        <f>+C43*C45</f>
        <v>8183.8688000000002</v>
      </c>
      <c r="D44" s="13">
        <f>+D43*D45</f>
        <v>6275.2928000000002</v>
      </c>
      <c r="E44" s="13">
        <f>+E43*E45</f>
        <v>4929.2608</v>
      </c>
      <c r="F44" s="15">
        <f>SUM(C44:E44)</f>
        <v>19388.422399999999</v>
      </c>
      <c r="G44" s="13">
        <f>+G43*G45</f>
        <v>5827.8912</v>
      </c>
      <c r="H44" s="13">
        <f>+H43*H45</f>
        <v>4929.8941999999997</v>
      </c>
      <c r="I44" s="13">
        <f>+I43*I45</f>
        <v>4478.4740000000002</v>
      </c>
      <c r="J44" s="15">
        <f>SUM(G44:I44)</f>
        <v>15236.259400000001</v>
      </c>
      <c r="K44" s="13">
        <f>+K43*K45</f>
        <v>9195.9808000000012</v>
      </c>
      <c r="L44" s="13">
        <f>+L43*L45</f>
        <v>10396.740599999999</v>
      </c>
      <c r="M44" s="13">
        <f>+M43*M45</f>
        <v>6988.5711000000001</v>
      </c>
      <c r="N44" s="15">
        <f>SUM(K44:M44)</f>
        <v>26581.292500000003</v>
      </c>
      <c r="O44" s="13">
        <f>+O43*O45</f>
        <v>5382.7616000000007</v>
      </c>
      <c r="P44" s="13">
        <f>+P43*P45</f>
        <v>6226.3149999999996</v>
      </c>
      <c r="Q44" s="13">
        <f>+Q43*Q45</f>
        <v>6208.1809999999996</v>
      </c>
      <c r="R44" s="15">
        <f>SUM(O44:Q44)</f>
        <v>17817.257600000001</v>
      </c>
      <c r="S44" s="15">
        <f>F44+J44+N44+R44</f>
        <v>79023.231899999999</v>
      </c>
    </row>
    <row r="45" spans="1:21" ht="15.75" thickBot="1" x14ac:dyDescent="0.3">
      <c r="A45" t="s">
        <v>23</v>
      </c>
      <c r="C45" s="13">
        <f>55.36/1000</f>
        <v>5.5359999999999999E-2</v>
      </c>
      <c r="D45" s="13">
        <f>51.64/1000</f>
        <v>5.1639999999999998E-2</v>
      </c>
      <c r="E45" s="14">
        <f>35.74/1000</f>
        <v>3.5740000000000001E-2</v>
      </c>
      <c r="F45" s="15">
        <f t="shared" ref="F45:S45" si="34">+F44/F43</f>
        <v>4.7605820217546099E-2</v>
      </c>
      <c r="G45" s="16">
        <f>24.88/1000</f>
        <v>2.4879999999999999E-2</v>
      </c>
      <c r="H45" s="13">
        <f>21.98/1000</f>
        <v>2.198E-2</v>
      </c>
      <c r="I45" s="13">
        <f>28.6/1000</f>
        <v>2.86E-2</v>
      </c>
      <c r="J45" s="15">
        <f t="shared" si="34"/>
        <v>2.4769572441149697E-2</v>
      </c>
      <c r="K45" s="13">
        <f>46.88/1000</f>
        <v>4.6880000000000005E-2</v>
      </c>
      <c r="L45" s="13">
        <f>46.94/1000</f>
        <v>4.6939999999999996E-2</v>
      </c>
      <c r="M45" s="13">
        <f>54.39/1000</f>
        <v>5.4390000000000001E-2</v>
      </c>
      <c r="N45" s="15">
        <f t="shared" si="34"/>
        <v>4.8671206100999752E-2</v>
      </c>
      <c r="O45" s="13">
        <f>46.88/1000</f>
        <v>4.6880000000000005E-2</v>
      </c>
      <c r="P45" s="13">
        <f>52.3/1000</f>
        <v>5.2299999999999999E-2</v>
      </c>
      <c r="Q45" s="13">
        <f>57.05/1000</f>
        <v>5.7049999999999997E-2</v>
      </c>
      <c r="R45" s="15">
        <f t="shared" si="34"/>
        <v>5.1992347602789694E-2</v>
      </c>
      <c r="S45" s="15">
        <f t="shared" si="34"/>
        <v>4.1347009711074599E-2</v>
      </c>
    </row>
  </sheetData>
  <pageMargins left="0.27559055118110237" right="0.27559055118110237" top="0.19685039370078741" bottom="0.31496062992125984" header="0.19685039370078741" footer="0.23622047244094491"/>
  <pageSetup paperSize="9" scale="6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35D09-CB3E-4CCF-B94E-A191FC520247}">
  <sheetPr>
    <pageSetUpPr fitToPage="1"/>
  </sheetPr>
  <dimension ref="A1:W49"/>
  <sheetViews>
    <sheetView zoomScaleNormal="100" workbookViewId="0">
      <pane xSplit="2" ySplit="2" topLeftCell="D3" activePane="bottomRight" state="frozen"/>
      <selection pane="topRight" activeCell="C1" sqref="C1"/>
      <selection pane="bottomLeft" activeCell="A4" sqref="A4"/>
      <selection pane="bottomRight" activeCell="T25" sqref="T25"/>
    </sheetView>
  </sheetViews>
  <sheetFormatPr baseColWidth="10" defaultRowHeight="15" x14ac:dyDescent="0.25"/>
  <cols>
    <col min="1" max="1" width="15.7109375" customWidth="1"/>
    <col min="2" max="2" width="5" bestFit="1" customWidth="1"/>
    <col min="3" max="3" width="12" bestFit="1" customWidth="1"/>
    <col min="4" max="4" width="11" bestFit="1" customWidth="1"/>
    <col min="5" max="5" width="10.140625" bestFit="1" customWidth="1"/>
    <col min="6" max="6" width="11.7109375" bestFit="1" customWidth="1"/>
    <col min="7" max="9" width="10.140625" bestFit="1" customWidth="1"/>
    <col min="10" max="10" width="11.7109375" bestFit="1" customWidth="1"/>
    <col min="11" max="13" width="10.140625" bestFit="1" customWidth="1"/>
    <col min="14" max="14" width="11.7109375" bestFit="1" customWidth="1"/>
    <col min="15" max="17" width="10.140625" bestFit="1" customWidth="1"/>
    <col min="18" max="19" width="11.7109375" bestFit="1" customWidth="1"/>
  </cols>
  <sheetData>
    <row r="1" spans="1:19" ht="24" thickBot="1" x14ac:dyDescent="0.4">
      <c r="A1" s="44" t="s">
        <v>5</v>
      </c>
      <c r="B1" s="3"/>
      <c r="C1" s="77">
        <v>17555.919999999998</v>
      </c>
      <c r="D1" s="77">
        <v>16955.060000000001</v>
      </c>
      <c r="E1" s="77">
        <v>18772.759999999998</v>
      </c>
      <c r="G1" s="77">
        <v>16453</v>
      </c>
      <c r="H1" s="77">
        <v>14439.11</v>
      </c>
      <c r="I1" s="77">
        <v>13463.51</v>
      </c>
      <c r="K1" s="77">
        <v>21604.07</v>
      </c>
      <c r="L1" s="77">
        <v>17935.939999999999</v>
      </c>
      <c r="M1" s="77">
        <v>15938.87</v>
      </c>
      <c r="O1" s="77">
        <v>13824.19</v>
      </c>
      <c r="P1" s="77">
        <v>13527.53</v>
      </c>
      <c r="Q1" s="77">
        <v>12590.27</v>
      </c>
      <c r="S1" s="27">
        <f>SUM(C1:R1)</f>
        <v>193060.22999999998</v>
      </c>
    </row>
    <row r="2" spans="1:19" ht="27" thickBot="1" x14ac:dyDescent="0.45">
      <c r="A2" s="32">
        <v>2025</v>
      </c>
      <c r="C2" s="40">
        <v>45658</v>
      </c>
      <c r="D2" s="40">
        <v>45689</v>
      </c>
      <c r="E2" s="40">
        <v>45717</v>
      </c>
      <c r="F2" s="42" t="s">
        <v>0</v>
      </c>
      <c r="G2" s="43">
        <v>45748</v>
      </c>
      <c r="H2" s="43">
        <v>45778</v>
      </c>
      <c r="I2" s="43">
        <v>45809</v>
      </c>
      <c r="J2" s="42" t="s">
        <v>2</v>
      </c>
      <c r="K2" s="43">
        <v>45839</v>
      </c>
      <c r="L2" s="43">
        <v>45870</v>
      </c>
      <c r="M2" s="43">
        <v>45901</v>
      </c>
      <c r="N2" s="42" t="s">
        <v>3</v>
      </c>
      <c r="O2" s="43">
        <v>45931</v>
      </c>
      <c r="P2" s="43">
        <v>45962</v>
      </c>
      <c r="Q2" s="43">
        <v>45992</v>
      </c>
      <c r="R2" s="42" t="s">
        <v>4</v>
      </c>
      <c r="S2" s="42" t="s">
        <v>7</v>
      </c>
    </row>
    <row r="3" spans="1:19" ht="15.75" thickBot="1" x14ac:dyDescent="0.3">
      <c r="C3" s="78">
        <f>+C1/C29</f>
        <v>0.37157698277945755</v>
      </c>
      <c r="D3" s="78">
        <f>+D1/D29</f>
        <v>0.34594383059156902</v>
      </c>
      <c r="E3" s="78">
        <f>+E1/E29</f>
        <v>0.53248382928077309</v>
      </c>
      <c r="F3" s="39"/>
      <c r="G3" s="78">
        <f>+G1/G29</f>
        <v>0.70869258644580735</v>
      </c>
      <c r="H3" s="78">
        <f>+H1/H29</f>
        <v>0.6003298691665877</v>
      </c>
      <c r="I3" s="78">
        <f>+I1/I29</f>
        <v>0.38048034282910886</v>
      </c>
      <c r="J3" s="39"/>
      <c r="K3" s="78">
        <f>+K1/K29</f>
        <v>0.44354572639000239</v>
      </c>
      <c r="L3" s="78">
        <f>+L1/L29</f>
        <v>0.52154279014694893</v>
      </c>
      <c r="M3" s="78">
        <f>+M1/M29</f>
        <v>0.51479361416874481</v>
      </c>
      <c r="N3" s="39"/>
      <c r="O3" s="78">
        <f>+O1/O29</f>
        <v>0.40992907885540503</v>
      </c>
      <c r="P3" s="78">
        <f>+P1/P29</f>
        <v>0.4932921172623233</v>
      </c>
      <c r="Q3" s="78">
        <f>+Q1/Q29</f>
        <v>0.33455558206905567</v>
      </c>
      <c r="R3" s="39"/>
      <c r="S3" s="78">
        <f>+S1/S29</f>
        <v>0.45212607431336338</v>
      </c>
    </row>
    <row r="4" spans="1:19" ht="15.75" thickBot="1" x14ac:dyDescent="0.3">
      <c r="A4" t="s">
        <v>9</v>
      </c>
      <c r="C4" s="6">
        <v>12</v>
      </c>
      <c r="D4" s="6">
        <v>11</v>
      </c>
      <c r="E4" s="7">
        <v>13</v>
      </c>
      <c r="F4" s="9">
        <f>SUM(C4:E4)</f>
        <v>36</v>
      </c>
      <c r="G4" s="8">
        <v>15</v>
      </c>
      <c r="H4" s="6">
        <v>16</v>
      </c>
      <c r="I4" s="7">
        <v>9</v>
      </c>
      <c r="J4" s="9">
        <f>SUM(G4:I4)</f>
        <v>40</v>
      </c>
      <c r="K4" s="8">
        <v>12</v>
      </c>
      <c r="L4" s="6">
        <v>8</v>
      </c>
      <c r="M4" s="7">
        <v>9</v>
      </c>
      <c r="N4" s="9">
        <f>SUM(K4:M4)</f>
        <v>29</v>
      </c>
      <c r="O4" s="7">
        <v>9</v>
      </c>
      <c r="P4" s="6">
        <v>8</v>
      </c>
      <c r="Q4" s="7">
        <v>10</v>
      </c>
      <c r="R4" s="9">
        <f>SUM(O4:Q4)</f>
        <v>27</v>
      </c>
      <c r="S4" s="9">
        <f>F4+J4+N4+R4</f>
        <v>132</v>
      </c>
    </row>
    <row r="5" spans="1:19" ht="15.75" thickBot="1" x14ac:dyDescent="0.3">
      <c r="A5" t="s">
        <v>17</v>
      </c>
      <c r="C5" s="13">
        <v>288401.49999999994</v>
      </c>
      <c r="D5" s="13">
        <v>295448.18</v>
      </c>
      <c r="E5" s="14">
        <v>381189.42000000004</v>
      </c>
      <c r="F5" s="15">
        <f>SUM(C5:E5)</f>
        <v>965039.1</v>
      </c>
      <c r="G5" s="16">
        <v>469310.68</v>
      </c>
      <c r="H5" s="13">
        <v>511700.95000000007</v>
      </c>
      <c r="I5" s="13">
        <v>297481.53000000003</v>
      </c>
      <c r="J5" s="15">
        <f>SUM(G5:I5)</f>
        <v>1278493.1600000001</v>
      </c>
      <c r="K5" s="13">
        <v>379668.42</v>
      </c>
      <c r="L5" s="13">
        <v>252808.04</v>
      </c>
      <c r="M5" s="13">
        <v>225304.34000000003</v>
      </c>
      <c r="N5" s="15">
        <f>SUM(K5:M5)</f>
        <v>857780.8</v>
      </c>
      <c r="O5" s="13">
        <v>174990</v>
      </c>
      <c r="P5" s="13">
        <v>164866.49</v>
      </c>
      <c r="Q5" s="13">
        <v>191647.66000000003</v>
      </c>
      <c r="R5" s="15">
        <f>SUM(O5:Q5)</f>
        <v>531504.15</v>
      </c>
      <c r="S5" s="15">
        <f>F5+J5+N5+R5</f>
        <v>3632817.2100000004</v>
      </c>
    </row>
    <row r="6" spans="1:19" x14ac:dyDescent="0.25">
      <c r="E6" s="27"/>
      <c r="F6" s="39"/>
      <c r="J6" s="39"/>
      <c r="N6" s="39"/>
      <c r="R6" s="39"/>
      <c r="S6" s="39"/>
    </row>
    <row r="7" spans="1:19" x14ac:dyDescent="0.25">
      <c r="A7" s="22" t="s">
        <v>11</v>
      </c>
      <c r="B7" s="22"/>
      <c r="D7" s="29"/>
      <c r="F7" s="39"/>
      <c r="J7" s="39"/>
      <c r="N7" s="39"/>
      <c r="R7" s="39"/>
      <c r="S7" s="39"/>
    </row>
    <row r="8" spans="1:19" ht="15.75" thickBot="1" x14ac:dyDescent="0.3">
      <c r="F8" s="39"/>
      <c r="J8" s="39"/>
      <c r="L8" s="5"/>
      <c r="N8" s="39"/>
      <c r="R8" s="39"/>
      <c r="S8" s="39"/>
    </row>
    <row r="9" spans="1:19" ht="15.75" thickBot="1" x14ac:dyDescent="0.3">
      <c r="A9" t="s">
        <v>6</v>
      </c>
      <c r="C9" s="1">
        <v>589700</v>
      </c>
      <c r="D9" s="1">
        <v>513734</v>
      </c>
      <c r="E9" s="10">
        <v>602157</v>
      </c>
      <c r="F9" s="12">
        <f>SUM(C9:E9)</f>
        <v>1705591</v>
      </c>
      <c r="G9" s="11">
        <v>598266</v>
      </c>
      <c r="H9" s="1">
        <v>610153</v>
      </c>
      <c r="I9" s="10">
        <v>357659</v>
      </c>
      <c r="J9" s="12">
        <f>SUM(G9:I9)</f>
        <v>1566078</v>
      </c>
      <c r="K9" s="11">
        <v>435338</v>
      </c>
      <c r="L9" s="1">
        <v>341591</v>
      </c>
      <c r="M9" s="10">
        <v>386296</v>
      </c>
      <c r="N9" s="12">
        <f>SUM(K9:M9)</f>
        <v>1163225</v>
      </c>
      <c r="O9" s="10">
        <v>418279</v>
      </c>
      <c r="P9" s="1">
        <v>418766</v>
      </c>
      <c r="Q9" s="10">
        <v>447134</v>
      </c>
      <c r="R9" s="12">
        <f>SUM(O9:Q9)</f>
        <v>1284179</v>
      </c>
      <c r="S9" s="12">
        <f>F9+J9+N9+R9</f>
        <v>5719073</v>
      </c>
    </row>
    <row r="10" spans="1:19" ht="15.75" thickBot="1" x14ac:dyDescent="0.3">
      <c r="A10" t="s">
        <v>15</v>
      </c>
      <c r="C10" s="13">
        <v>34222.53</v>
      </c>
      <c r="D10" s="13">
        <v>30999.73</v>
      </c>
      <c r="E10" s="14">
        <v>30776.89</v>
      </c>
      <c r="F10" s="15">
        <f>SUM(C10:E10)</f>
        <v>95999.15</v>
      </c>
      <c r="G10" s="16">
        <v>27077.99</v>
      </c>
      <c r="H10" s="13">
        <v>26878.02</v>
      </c>
      <c r="I10" s="14">
        <v>17619.849999999999</v>
      </c>
      <c r="J10" s="15">
        <f>SUM(G10:I10)</f>
        <v>71575.86</v>
      </c>
      <c r="K10" s="16">
        <v>19858.86</v>
      </c>
      <c r="L10" s="13">
        <v>15655.95</v>
      </c>
      <c r="M10" s="14">
        <v>16987.57</v>
      </c>
      <c r="N10" s="15">
        <f>SUM(K10:M10)</f>
        <v>52502.38</v>
      </c>
      <c r="O10" s="16">
        <v>19009.5</v>
      </c>
      <c r="P10" s="13">
        <v>18487.150000000001</v>
      </c>
      <c r="Q10" s="14">
        <v>18573.18</v>
      </c>
      <c r="R10" s="15">
        <f>SUM(O10:Q10)</f>
        <v>56069.83</v>
      </c>
      <c r="S10" s="15">
        <f>F10+J10+N10+R10</f>
        <v>276147.22000000003</v>
      </c>
    </row>
    <row r="11" spans="1:19" ht="15.75" thickBot="1" x14ac:dyDescent="0.3">
      <c r="A11" t="s">
        <v>23</v>
      </c>
      <c r="C11" s="62">
        <f>+C10/C9</f>
        <v>5.8033796845853823E-2</v>
      </c>
      <c r="D11" s="62">
        <f t="shared" ref="D11:S11" si="0">+D10/D9</f>
        <v>6.0341986319768594E-2</v>
      </c>
      <c r="E11" s="63">
        <f t="shared" si="0"/>
        <v>5.1111072361526975E-2</v>
      </c>
      <c r="F11" s="15">
        <f t="shared" si="0"/>
        <v>5.6284976878982124E-2</v>
      </c>
      <c r="G11" s="64">
        <f t="shared" si="0"/>
        <v>4.5260787007785838E-2</v>
      </c>
      <c r="H11" s="62">
        <f t="shared" si="0"/>
        <v>4.4051278941511389E-2</v>
      </c>
      <c r="I11" s="13">
        <f t="shared" si="0"/>
        <v>4.9264383113524331E-2</v>
      </c>
      <c r="J11" s="15">
        <f t="shared" si="0"/>
        <v>4.5703892143303206E-2</v>
      </c>
      <c r="K11" s="13">
        <f t="shared" si="0"/>
        <v>4.561710670789134E-2</v>
      </c>
      <c r="L11" s="13">
        <f t="shared" si="0"/>
        <v>4.5832442892230769E-2</v>
      </c>
      <c r="M11" s="13">
        <f t="shared" si="0"/>
        <v>4.3975526539234158E-2</v>
      </c>
      <c r="N11" s="15">
        <f t="shared" si="0"/>
        <v>4.5135188806980593E-2</v>
      </c>
      <c r="O11" s="13">
        <f t="shared" si="0"/>
        <v>4.5446938526677173E-2</v>
      </c>
      <c r="P11" s="13">
        <f t="shared" si="0"/>
        <v>4.4146731109975502E-2</v>
      </c>
      <c r="Q11" s="13">
        <f t="shared" si="0"/>
        <v>4.1538286061896433E-2</v>
      </c>
      <c r="R11" s="15">
        <f t="shared" si="0"/>
        <v>4.3662005063157087E-2</v>
      </c>
      <c r="S11" s="15">
        <f t="shared" si="0"/>
        <v>4.8285311273347974E-2</v>
      </c>
    </row>
    <row r="12" spans="1:19" ht="15.75" thickBot="1" x14ac:dyDescent="0.3">
      <c r="F12" s="39"/>
      <c r="G12" s="65"/>
      <c r="J12" s="39"/>
      <c r="K12" s="27"/>
      <c r="N12" s="39"/>
      <c r="R12" s="39"/>
      <c r="S12" s="39"/>
    </row>
    <row r="13" spans="1:19" ht="15.75" thickBot="1" x14ac:dyDescent="0.3">
      <c r="A13" t="s">
        <v>14</v>
      </c>
      <c r="B13" t="s">
        <v>6</v>
      </c>
      <c r="C13" s="1">
        <f t="shared" ref="C13:S13" si="1">+C9/C4</f>
        <v>49141.666666666664</v>
      </c>
      <c r="D13" s="1">
        <f t="shared" si="1"/>
        <v>46703.090909090912</v>
      </c>
      <c r="E13" s="10">
        <f t="shared" si="1"/>
        <v>46319.769230769234</v>
      </c>
      <c r="F13" s="12">
        <f t="shared" si="1"/>
        <v>47377.527777777781</v>
      </c>
      <c r="G13" s="11">
        <f t="shared" si="1"/>
        <v>39884.400000000001</v>
      </c>
      <c r="H13" s="1">
        <f t="shared" si="1"/>
        <v>38134.5625</v>
      </c>
      <c r="I13" s="1">
        <f t="shared" si="1"/>
        <v>39739.888888888891</v>
      </c>
      <c r="J13" s="12">
        <f t="shared" si="1"/>
        <v>39151.949999999997</v>
      </c>
      <c r="K13" s="1">
        <f t="shared" si="1"/>
        <v>36278.166666666664</v>
      </c>
      <c r="L13" s="1">
        <f t="shared" si="1"/>
        <v>42698.875</v>
      </c>
      <c r="M13" s="1">
        <f t="shared" si="1"/>
        <v>42921.777777777781</v>
      </c>
      <c r="N13" s="12">
        <f t="shared" si="1"/>
        <v>40111.206896551725</v>
      </c>
      <c r="O13" s="1">
        <f t="shared" si="1"/>
        <v>46475.444444444445</v>
      </c>
      <c r="P13" s="1">
        <f t="shared" si="1"/>
        <v>52345.75</v>
      </c>
      <c r="Q13" s="1">
        <f t="shared" si="1"/>
        <v>44713.4</v>
      </c>
      <c r="R13" s="12">
        <f t="shared" si="1"/>
        <v>47562.185185185182</v>
      </c>
      <c r="S13" s="12">
        <f t="shared" si="1"/>
        <v>43326.310606060608</v>
      </c>
    </row>
    <row r="14" spans="1:19" ht="15.75" thickBot="1" x14ac:dyDescent="0.3">
      <c r="A14" t="s">
        <v>14</v>
      </c>
      <c r="B14" t="s">
        <v>10</v>
      </c>
      <c r="C14" s="13">
        <f t="shared" ref="C14:S14" si="2">+C10/C4</f>
        <v>2851.8775000000001</v>
      </c>
      <c r="D14" s="13">
        <f t="shared" si="2"/>
        <v>2818.1572727272728</v>
      </c>
      <c r="E14" s="14">
        <f t="shared" si="2"/>
        <v>2367.4530769230769</v>
      </c>
      <c r="F14" s="15">
        <f t="shared" si="2"/>
        <v>2666.6430555555553</v>
      </c>
      <c r="G14" s="16">
        <f t="shared" si="2"/>
        <v>1805.1993333333335</v>
      </c>
      <c r="H14" s="13">
        <f t="shared" si="2"/>
        <v>1679.87625</v>
      </c>
      <c r="I14" s="13">
        <f t="shared" si="2"/>
        <v>1957.7611111111109</v>
      </c>
      <c r="J14" s="15">
        <f t="shared" si="2"/>
        <v>1789.3965000000001</v>
      </c>
      <c r="K14" s="13">
        <f t="shared" si="2"/>
        <v>1654.905</v>
      </c>
      <c r="L14" s="13">
        <f t="shared" si="2"/>
        <v>1956.9937500000001</v>
      </c>
      <c r="M14" s="13">
        <f t="shared" si="2"/>
        <v>1887.5077777777778</v>
      </c>
      <c r="N14" s="15">
        <f t="shared" si="2"/>
        <v>1810.426896551724</v>
      </c>
      <c r="O14" s="13">
        <f t="shared" si="2"/>
        <v>2112.1666666666665</v>
      </c>
      <c r="P14" s="13">
        <f t="shared" si="2"/>
        <v>2310.8937500000002</v>
      </c>
      <c r="Q14" s="13">
        <f t="shared" si="2"/>
        <v>1857.318</v>
      </c>
      <c r="R14" s="15">
        <f t="shared" si="2"/>
        <v>2076.6603703703704</v>
      </c>
      <c r="S14" s="15">
        <f t="shared" si="2"/>
        <v>2092.024393939394</v>
      </c>
    </row>
    <row r="15" spans="1:19" ht="15.75" thickBot="1" x14ac:dyDescent="0.3">
      <c r="A15" t="s">
        <v>20</v>
      </c>
      <c r="B15" t="s">
        <v>6</v>
      </c>
      <c r="C15" s="30">
        <f>+C9/C5</f>
        <v>2.0447189074952803</v>
      </c>
      <c r="D15" s="30">
        <f t="shared" ref="D15:R15" si="3">+D9/D5</f>
        <v>1.7388294624119871</v>
      </c>
      <c r="E15" s="33">
        <f t="shared" si="3"/>
        <v>1.5796792051573727</v>
      </c>
      <c r="F15" s="31">
        <f t="shared" si="3"/>
        <v>1.7673802025223642</v>
      </c>
      <c r="G15" s="36">
        <f t="shared" si="3"/>
        <v>1.2747760183083836</v>
      </c>
      <c r="H15" s="30">
        <f t="shared" si="3"/>
        <v>1.1924015384376361</v>
      </c>
      <c r="I15" s="30">
        <f t="shared" si="3"/>
        <v>1.2022897690488548</v>
      </c>
      <c r="J15" s="31">
        <f t="shared" si="3"/>
        <v>1.22494046037759</v>
      </c>
      <c r="K15" s="30">
        <f t="shared" si="3"/>
        <v>1.1466268382289999</v>
      </c>
      <c r="L15" s="30">
        <f t="shared" si="3"/>
        <v>1.35118724863339</v>
      </c>
      <c r="M15" s="30">
        <f t="shared" si="3"/>
        <v>1.7145519700153133</v>
      </c>
      <c r="N15" s="31">
        <f t="shared" si="3"/>
        <v>1.3560865433220235</v>
      </c>
      <c r="O15" s="30">
        <f t="shared" si="3"/>
        <v>2.3903023029887422</v>
      </c>
      <c r="P15" s="30">
        <f t="shared" si="3"/>
        <v>2.5400310275302158</v>
      </c>
      <c r="Q15" s="30">
        <f t="shared" si="3"/>
        <v>2.3331044062839061</v>
      </c>
      <c r="R15" s="31">
        <f t="shared" si="3"/>
        <v>2.4161222447651629</v>
      </c>
      <c r="S15" s="31">
        <f>+S9/S5</f>
        <v>1.5742804191350985</v>
      </c>
    </row>
    <row r="16" spans="1:19" ht="15.75" thickBot="1" x14ac:dyDescent="0.3">
      <c r="A16" t="s">
        <v>19</v>
      </c>
      <c r="B16" t="s">
        <v>10</v>
      </c>
      <c r="C16" s="25">
        <f t="shared" ref="C16:S16" si="4">+C10/C5</f>
        <v>0.11866280168445728</v>
      </c>
      <c r="D16" s="25">
        <f t="shared" si="4"/>
        <v>0.10492442363327471</v>
      </c>
      <c r="E16" s="34">
        <f t="shared" si="4"/>
        <v>8.0739098162797895E-2</v>
      </c>
      <c r="F16" s="26">
        <f t="shared" si="4"/>
        <v>9.9476953835342011E-2</v>
      </c>
      <c r="G16" s="37">
        <f t="shared" si="4"/>
        <v>5.7697365847289052E-2</v>
      </c>
      <c r="H16" s="25">
        <f t="shared" si="4"/>
        <v>5.2526812780003623E-2</v>
      </c>
      <c r="I16" s="25">
        <f t="shared" si="4"/>
        <v>5.9230063795893469E-2</v>
      </c>
      <c r="J16" s="26">
        <f t="shared" si="4"/>
        <v>5.5984546683065552E-2</v>
      </c>
      <c r="K16" s="25">
        <f t="shared" si="4"/>
        <v>5.2305798833624358E-2</v>
      </c>
      <c r="L16" s="25">
        <f t="shared" si="4"/>
        <v>6.1928212409700263E-2</v>
      </c>
      <c r="M16" s="25">
        <f t="shared" si="4"/>
        <v>7.5398325660304619E-2</v>
      </c>
      <c r="N16" s="26">
        <f t="shared" si="4"/>
        <v>6.120722217144519E-2</v>
      </c>
      <c r="O16" s="25">
        <f t="shared" si="4"/>
        <v>0.10863192182410424</v>
      </c>
      <c r="P16" s="25">
        <f t="shared" si="4"/>
        <v>0.11213406678337122</v>
      </c>
      <c r="Q16" s="25">
        <f t="shared" si="4"/>
        <v>9.6913158240491931E-2</v>
      </c>
      <c r="R16" s="26">
        <f t="shared" si="4"/>
        <v>0.10549274168414301</v>
      </c>
      <c r="S16" s="26">
        <f t="shared" si="4"/>
        <v>7.6014620069474945E-2</v>
      </c>
    </row>
    <row r="18" spans="1:23" ht="15.75" thickBot="1" x14ac:dyDescent="0.3">
      <c r="A18" s="22" t="s">
        <v>12</v>
      </c>
      <c r="B18" s="22"/>
    </row>
    <row r="19" spans="1:23" ht="15.75" thickBot="1" x14ac:dyDescent="0.3">
      <c r="A19" t="s">
        <v>1</v>
      </c>
      <c r="C19" s="1">
        <f>(23581+30+30)/$F$5*C5</f>
        <v>7065.1021927505308</v>
      </c>
      <c r="D19" s="1">
        <f t="shared" ref="D19:E19" si="5">(23581+30+30)/$F$5*D5</f>
        <v>7237.7279048900709</v>
      </c>
      <c r="E19" s="1">
        <f t="shared" si="5"/>
        <v>9338.1699023593974</v>
      </c>
      <c r="F19" s="12">
        <f>SUM(C19:E19)</f>
        <v>23641</v>
      </c>
      <c r="G19" s="11">
        <v>8724</v>
      </c>
      <c r="H19" s="11">
        <v>9915</v>
      </c>
      <c r="I19" s="11">
        <f>26971-G19-H19</f>
        <v>8332</v>
      </c>
      <c r="J19" s="12">
        <f>SUM(G19:I19)</f>
        <v>26971</v>
      </c>
      <c r="K19" s="11">
        <v>7182</v>
      </c>
      <c r="L19" s="11">
        <v>5717</v>
      </c>
      <c r="M19" s="11">
        <f>17723-12899</f>
        <v>4824</v>
      </c>
      <c r="N19" s="12">
        <f>SUM(K19:M19)</f>
        <v>17723</v>
      </c>
      <c r="O19" s="11">
        <v>6188.4654599187297</v>
      </c>
      <c r="P19" s="11">
        <v>5215.11045437754</v>
      </c>
      <c r="Q19" s="11">
        <v>6500.4240857037312</v>
      </c>
      <c r="R19" s="12">
        <f>SUM(O19:Q19)</f>
        <v>17904</v>
      </c>
      <c r="S19" s="12">
        <f>F19+J19+N19+R19</f>
        <v>86239</v>
      </c>
    </row>
    <row r="20" spans="1:23" ht="15.75" thickBot="1" x14ac:dyDescent="0.3">
      <c r="A20" t="s">
        <v>15</v>
      </c>
      <c r="C20" s="13">
        <f>(25656.6+35919.24+36+36)/$F$5*C5</f>
        <v>18423.429193449254</v>
      </c>
      <c r="D20" s="13">
        <f>(25656.6+35919.24+36+36)/$F$5*D5</f>
        <v>18873.579452823411</v>
      </c>
      <c r="E20" s="13">
        <f>(25656.6+35919.24+36+36)/$F$5*E5</f>
        <v>24350.831353727324</v>
      </c>
      <c r="F20" s="15">
        <f>SUM(C20:E20)</f>
        <v>61647.839999999982</v>
      </c>
      <c r="G20" s="16">
        <v>23031.360000000001</v>
      </c>
      <c r="H20" s="16">
        <v>26175.599999999999</v>
      </c>
      <c r="I20" s="16">
        <f>70525.44+36+36-G20-H20</f>
        <v>21390.480000000003</v>
      </c>
      <c r="J20" s="12">
        <f>SUM(G20:I20)</f>
        <v>70597.440000000002</v>
      </c>
      <c r="K20" s="16">
        <v>18960.48</v>
      </c>
      <c r="L20" s="16">
        <v>15092.880000000001</v>
      </c>
      <c r="M20" s="16">
        <f>46110.72+36+36-K20-L20</f>
        <v>12129.36</v>
      </c>
      <c r="N20" s="12">
        <f>SUM(K20:M20)</f>
        <v>46182.720000000001</v>
      </c>
      <c r="O20" s="16">
        <v>16073.336180273367</v>
      </c>
      <c r="P20" s="16">
        <v>13545.235744366459</v>
      </c>
      <c r="Q20" s="16">
        <v>16883.588075360178</v>
      </c>
      <c r="R20" s="12">
        <f>SUM(O20:Q20)</f>
        <v>46502.16</v>
      </c>
      <c r="S20" s="15">
        <f>F20+J20+N20+R20</f>
        <v>224930.15999999997</v>
      </c>
    </row>
    <row r="21" spans="1:23" ht="15.75" thickBot="1" x14ac:dyDescent="0.3">
      <c r="C21" s="27">
        <f t="shared" ref="C21:R21" si="6">+C20/C19</f>
        <v>2.6076663423713038</v>
      </c>
      <c r="D21" s="27">
        <f t="shared" si="6"/>
        <v>2.6076663423713038</v>
      </c>
      <c r="E21" s="27">
        <f t="shared" si="6"/>
        <v>2.6076663423713038</v>
      </c>
      <c r="F21" s="27">
        <f t="shared" si="6"/>
        <v>2.6076663423713033</v>
      </c>
      <c r="G21" s="27">
        <f t="shared" si="6"/>
        <v>2.64</v>
      </c>
      <c r="H21" s="27">
        <f t="shared" si="6"/>
        <v>2.6399999999999997</v>
      </c>
      <c r="I21" s="27">
        <f t="shared" si="6"/>
        <v>2.5672683629380706</v>
      </c>
      <c r="J21" s="27">
        <f t="shared" si="6"/>
        <v>2.6175314226391309</v>
      </c>
      <c r="K21" s="27">
        <f t="shared" si="6"/>
        <v>2.64</v>
      </c>
      <c r="L21" s="27">
        <f t="shared" si="6"/>
        <v>2.64</v>
      </c>
      <c r="M21" s="27">
        <f t="shared" si="6"/>
        <v>2.5143781094527364</v>
      </c>
      <c r="N21" s="27">
        <f t="shared" si="6"/>
        <v>2.6058071432601704</v>
      </c>
      <c r="O21" s="27">
        <f t="shared" si="6"/>
        <v>2.5973056300268098</v>
      </c>
      <c r="P21" s="27">
        <f t="shared" si="6"/>
        <v>2.5973056300268098</v>
      </c>
      <c r="Q21" s="27">
        <f t="shared" si="6"/>
        <v>2.5973056300268098</v>
      </c>
      <c r="R21" s="27">
        <f t="shared" si="6"/>
        <v>2.5973056300268098</v>
      </c>
      <c r="S21" s="27">
        <f t="shared" ref="S21" si="7">+S20/S19</f>
        <v>2.6082185554099651</v>
      </c>
      <c r="T21" s="27"/>
      <c r="U21" s="27"/>
    </row>
    <row r="22" spans="1:23" ht="15.75" thickBot="1" x14ac:dyDescent="0.3">
      <c r="A22" t="s">
        <v>14</v>
      </c>
      <c r="B22" t="s">
        <v>1</v>
      </c>
      <c r="C22" s="1">
        <f t="shared" ref="C22:M22" si="8">+C19/C4</f>
        <v>588.75851606254423</v>
      </c>
      <c r="D22" s="1">
        <f t="shared" si="8"/>
        <v>657.97526408091551</v>
      </c>
      <c r="E22" s="1">
        <f t="shared" si="8"/>
        <v>718.32076171995368</v>
      </c>
      <c r="F22" s="15">
        <f t="shared" si="8"/>
        <v>656.69444444444446</v>
      </c>
      <c r="G22" s="1">
        <f t="shared" si="8"/>
        <v>581.6</v>
      </c>
      <c r="H22" s="1">
        <f t="shared" si="8"/>
        <v>619.6875</v>
      </c>
      <c r="I22" s="1">
        <f t="shared" si="8"/>
        <v>925.77777777777783</v>
      </c>
      <c r="J22" s="15">
        <f>+J19/J4</f>
        <v>674.27499999999998</v>
      </c>
      <c r="K22" s="1">
        <f t="shared" si="8"/>
        <v>598.5</v>
      </c>
      <c r="L22" s="1">
        <f t="shared" si="8"/>
        <v>714.625</v>
      </c>
      <c r="M22" s="1">
        <f t="shared" si="8"/>
        <v>536</v>
      </c>
      <c r="N22" s="15">
        <f>+N19/N4</f>
        <v>611.13793103448279</v>
      </c>
      <c r="O22" s="1">
        <f t="shared" ref="O22:Q22" si="9">+O19/O4</f>
        <v>687.60727332430326</v>
      </c>
      <c r="P22" s="1">
        <f t="shared" si="9"/>
        <v>651.8888067971925</v>
      </c>
      <c r="Q22" s="1">
        <f t="shared" si="9"/>
        <v>650.04240857037314</v>
      </c>
      <c r="R22" s="15">
        <f>+R19/R4</f>
        <v>663.11111111111109</v>
      </c>
      <c r="S22" s="15">
        <f>+S19/S4</f>
        <v>653.32575757575762</v>
      </c>
    </row>
    <row r="23" spans="1:23" ht="15.75" thickBot="1" x14ac:dyDescent="0.3">
      <c r="A23" t="s">
        <v>14</v>
      </c>
      <c r="B23" t="s">
        <v>10</v>
      </c>
      <c r="C23" s="13">
        <f t="shared" ref="C23:M23" si="10">+C20/C4</f>
        <v>1535.2857661207711</v>
      </c>
      <c r="D23" s="13">
        <f t="shared" si="10"/>
        <v>1715.7799502566738</v>
      </c>
      <c r="E23" s="13">
        <f t="shared" si="10"/>
        <v>1873.1408733636404</v>
      </c>
      <c r="F23" s="15">
        <f t="shared" si="10"/>
        <v>1712.4399999999996</v>
      </c>
      <c r="G23" s="13">
        <f t="shared" si="10"/>
        <v>1535.424</v>
      </c>
      <c r="H23" s="13">
        <f t="shared" si="10"/>
        <v>1635.9749999999999</v>
      </c>
      <c r="I23" s="13">
        <f t="shared" si="10"/>
        <v>2376.7200000000003</v>
      </c>
      <c r="J23" s="15">
        <f>+J20/J4</f>
        <v>1764.9360000000001</v>
      </c>
      <c r="K23" s="13">
        <f t="shared" si="10"/>
        <v>1580.04</v>
      </c>
      <c r="L23" s="13">
        <f t="shared" si="10"/>
        <v>1886.6100000000001</v>
      </c>
      <c r="M23" s="13">
        <f t="shared" si="10"/>
        <v>1347.7066666666667</v>
      </c>
      <c r="N23" s="15">
        <f>+N20/N4</f>
        <v>1592.5075862068966</v>
      </c>
      <c r="O23" s="13">
        <f t="shared" ref="O23:Q23" si="11">+O20/O4</f>
        <v>1785.9262422525962</v>
      </c>
      <c r="P23" s="13">
        <f t="shared" si="11"/>
        <v>1693.1544680458073</v>
      </c>
      <c r="Q23" s="13">
        <f t="shared" si="11"/>
        <v>1688.3588075360178</v>
      </c>
      <c r="R23" s="15">
        <f>+R20/R4</f>
        <v>1722.3022222222223</v>
      </c>
      <c r="S23" s="15">
        <f>+S20/S4</f>
        <v>1704.0163636363634</v>
      </c>
    </row>
    <row r="24" spans="1:23" ht="15.75" thickBot="1" x14ac:dyDescent="0.3">
      <c r="A24" t="s">
        <v>21</v>
      </c>
      <c r="B24" t="s">
        <v>1</v>
      </c>
      <c r="C24" s="23">
        <f t="shared" ref="C24:M24" si="12">+C19/C5</f>
        <v>2.4497453004753901E-2</v>
      </c>
      <c r="D24" s="23">
        <f t="shared" si="12"/>
        <v>2.4497453004753901E-2</v>
      </c>
      <c r="E24" s="23">
        <f t="shared" si="12"/>
        <v>2.4497453004753901E-2</v>
      </c>
      <c r="F24" s="31">
        <f t="shared" si="12"/>
        <v>2.4497453004753901E-2</v>
      </c>
      <c r="G24" s="23">
        <f t="shared" si="12"/>
        <v>1.8588965416256882E-2</v>
      </c>
      <c r="H24" s="23">
        <f t="shared" si="12"/>
        <v>1.9376551870775301E-2</v>
      </c>
      <c r="I24" s="23">
        <f t="shared" si="12"/>
        <v>2.8008461567345034E-2</v>
      </c>
      <c r="J24" s="31">
        <f>+J19/J5</f>
        <v>2.1095928272310816E-2</v>
      </c>
      <c r="K24" s="23">
        <f t="shared" si="12"/>
        <v>1.8916506145019909E-2</v>
      </c>
      <c r="L24" s="23">
        <f t="shared" si="12"/>
        <v>2.2613995978925352E-2</v>
      </c>
      <c r="M24" s="23">
        <f t="shared" si="12"/>
        <v>2.1411038952911424E-2</v>
      </c>
      <c r="N24" s="31">
        <f>+N19/N5</f>
        <v>2.0661455700570586E-2</v>
      </c>
      <c r="O24" s="23">
        <f t="shared" ref="O24:Q24" si="13">+O19/O5</f>
        <v>3.5364680609856161E-2</v>
      </c>
      <c r="P24" s="23">
        <f t="shared" si="13"/>
        <v>3.1632325370531879E-2</v>
      </c>
      <c r="Q24" s="23">
        <f t="shared" si="13"/>
        <v>3.3918619646614676E-2</v>
      </c>
      <c r="R24" s="31">
        <f>+R19/R5</f>
        <v>3.3685531900362393E-2</v>
      </c>
      <c r="S24" s="31">
        <f>+S19/S5</f>
        <v>2.3738876749045127E-2</v>
      </c>
      <c r="T24" s="81">
        <f>+S24*1000</f>
        <v>23.738876749045126</v>
      </c>
    </row>
    <row r="25" spans="1:23" ht="15.75" thickBot="1" x14ac:dyDescent="0.3">
      <c r="A25" t="s">
        <v>19</v>
      </c>
      <c r="B25" t="s">
        <v>10</v>
      </c>
      <c r="C25" s="23">
        <f t="shared" ref="C25:M25" si="14">+C20/C5</f>
        <v>6.3881183674319511E-2</v>
      </c>
      <c r="D25" s="23">
        <f t="shared" si="14"/>
        <v>6.3881183674319511E-2</v>
      </c>
      <c r="E25" s="23">
        <f t="shared" si="14"/>
        <v>6.3881183674319511E-2</v>
      </c>
      <c r="F25" s="26">
        <f t="shared" si="14"/>
        <v>6.3881183674319497E-2</v>
      </c>
      <c r="G25" s="23">
        <f t="shared" si="14"/>
        <v>4.9074868698918167E-2</v>
      </c>
      <c r="H25" s="23">
        <f t="shared" si="14"/>
        <v>5.1154096938846788E-2</v>
      </c>
      <c r="I25" s="23">
        <f t="shared" si="14"/>
        <v>7.1905237276411751E-2</v>
      </c>
      <c r="J25" s="26">
        <f>+J20/J5</f>
        <v>5.52192551425148E-2</v>
      </c>
      <c r="K25" s="23">
        <f t="shared" si="14"/>
        <v>4.9939576222852562E-2</v>
      </c>
      <c r="L25" s="23">
        <f t="shared" si="14"/>
        <v>5.9700949384362934E-2</v>
      </c>
      <c r="M25" s="23">
        <f t="shared" si="14"/>
        <v>5.3835447643840323E-2</v>
      </c>
      <c r="N25" s="26">
        <f>+N20/N5</f>
        <v>5.3839768854700404E-2</v>
      </c>
      <c r="O25" s="23">
        <f t="shared" ref="O25:Q25" si="15">+O20/O5</f>
        <v>9.1852884052079364E-2</v>
      </c>
      <c r="P25" s="23">
        <f t="shared" si="15"/>
        <v>8.2158816775722343E-2</v>
      </c>
      <c r="Q25" s="23">
        <f t="shared" si="15"/>
        <v>8.8097021770890266E-2</v>
      </c>
      <c r="R25" s="26">
        <f>+R20/R5</f>
        <v>8.749162165525895E-2</v>
      </c>
      <c r="S25" s="26">
        <f>+S20/S5</f>
        <v>6.1916178821449688E-2</v>
      </c>
      <c r="T25" s="81">
        <f>4/27</f>
        <v>0.14814814814814814</v>
      </c>
    </row>
    <row r="26" spans="1:23" x14ac:dyDescent="0.25"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ht="15.75" thickBot="1" x14ac:dyDescent="0.3">
      <c r="A27" s="22" t="s">
        <v>13</v>
      </c>
      <c r="B27" s="22"/>
    </row>
    <row r="28" spans="1:23" ht="15.75" thickBot="1" x14ac:dyDescent="0.3">
      <c r="A28" t="s">
        <v>6</v>
      </c>
      <c r="C28" s="1">
        <v>264772</v>
      </c>
      <c r="D28" s="1">
        <v>250839</v>
      </c>
      <c r="E28" s="10">
        <v>288948</v>
      </c>
      <c r="F28" s="12">
        <f>SUM(C28:E28)</f>
        <v>804559</v>
      </c>
      <c r="G28" s="11">
        <v>318459</v>
      </c>
      <c r="H28" s="1">
        <v>352130</v>
      </c>
      <c r="I28" s="10">
        <v>286486</v>
      </c>
      <c r="J28" s="12">
        <f>SUM(G28:I28)</f>
        <v>957075</v>
      </c>
      <c r="K28" s="11">
        <v>332045</v>
      </c>
      <c r="L28" s="1">
        <v>289253</v>
      </c>
      <c r="M28" s="10">
        <v>271492</v>
      </c>
      <c r="N28" s="12">
        <f>SUM(K28:M28)</f>
        <v>892790</v>
      </c>
      <c r="O28" s="11">
        <v>254100</v>
      </c>
      <c r="P28" s="1">
        <v>218996</v>
      </c>
      <c r="Q28" s="10">
        <v>237456</v>
      </c>
      <c r="R28" s="12">
        <f>SUM(O28:Q28)</f>
        <v>710552</v>
      </c>
      <c r="S28" s="12">
        <f>F28+J28+N28+R28</f>
        <v>3364976</v>
      </c>
    </row>
    <row r="29" spans="1:23" ht="15.75" thickBot="1" x14ac:dyDescent="0.3">
      <c r="A29" t="s">
        <v>15</v>
      </c>
      <c r="C29" s="13">
        <v>47247.06</v>
      </c>
      <c r="D29" s="13">
        <v>49011.02</v>
      </c>
      <c r="E29" s="14">
        <v>35255.08</v>
      </c>
      <c r="F29" s="15">
        <f>SUM(C29:E29)</f>
        <v>131513.15999999997</v>
      </c>
      <c r="G29" s="14">
        <v>23215.99</v>
      </c>
      <c r="H29" s="13">
        <v>24051.96</v>
      </c>
      <c r="I29" s="14">
        <v>35385.56</v>
      </c>
      <c r="J29" s="15">
        <f>SUM(G29:I29)</f>
        <v>82653.509999999995</v>
      </c>
      <c r="K29" s="14">
        <v>48707.65</v>
      </c>
      <c r="L29" s="13">
        <v>34390.160000000003</v>
      </c>
      <c r="M29" s="14">
        <v>30961.67</v>
      </c>
      <c r="N29" s="15">
        <f>SUM(K29:M29)</f>
        <v>114059.48</v>
      </c>
      <c r="O29" s="16">
        <v>33723.370000000003</v>
      </c>
      <c r="P29" s="13">
        <v>27422.959999999999</v>
      </c>
      <c r="Q29" s="14">
        <v>37632.82</v>
      </c>
      <c r="R29" s="15">
        <f>SUM(O29:Q29)</f>
        <v>98779.15</v>
      </c>
      <c r="S29" s="15">
        <f>F29+J29+N29+R29</f>
        <v>427005.29999999993</v>
      </c>
    </row>
    <row r="30" spans="1:23" ht="15.75" thickBot="1" x14ac:dyDescent="0.3">
      <c r="A30" t="s">
        <v>23</v>
      </c>
      <c r="C30" s="13">
        <f>+C29/C28</f>
        <v>0.17844432190715029</v>
      </c>
      <c r="D30" s="13">
        <f t="shared" ref="D30:S30" si="16">+D29/D28</f>
        <v>0.19538835667499868</v>
      </c>
      <c r="E30" s="14">
        <f t="shared" si="16"/>
        <v>0.12201184988302394</v>
      </c>
      <c r="F30" s="15">
        <f t="shared" si="16"/>
        <v>0.16345993270847753</v>
      </c>
      <c r="G30" s="16">
        <f t="shared" si="16"/>
        <v>7.2901032786010136E-2</v>
      </c>
      <c r="H30" s="13">
        <f t="shared" si="16"/>
        <v>6.8304205833073006E-2</v>
      </c>
      <c r="I30" s="13">
        <f t="shared" si="16"/>
        <v>0.12351584370614968</v>
      </c>
      <c r="J30" s="15">
        <f t="shared" si="16"/>
        <v>8.636053600814983E-2</v>
      </c>
      <c r="K30" s="13">
        <f t="shared" si="16"/>
        <v>0.14668990648857835</v>
      </c>
      <c r="L30" s="13">
        <f t="shared" si="16"/>
        <v>0.11889301061700312</v>
      </c>
      <c r="M30" s="13">
        <f t="shared" si="16"/>
        <v>0.11404266055721715</v>
      </c>
      <c r="N30" s="15">
        <f t="shared" si="16"/>
        <v>0.12775622486811009</v>
      </c>
      <c r="O30" s="13">
        <f t="shared" si="16"/>
        <v>0.13271692247146794</v>
      </c>
      <c r="P30" s="13">
        <f t="shared" si="16"/>
        <v>0.12522128258050375</v>
      </c>
      <c r="Q30" s="13">
        <f t="shared" si="16"/>
        <v>0.15848334007142376</v>
      </c>
      <c r="R30" s="15">
        <f t="shared" si="16"/>
        <v>0.13901748218286628</v>
      </c>
      <c r="S30" s="15">
        <f t="shared" si="16"/>
        <v>0.12689698232617408</v>
      </c>
      <c r="T30" s="27"/>
      <c r="U30" s="27"/>
      <c r="W30" s="27"/>
    </row>
    <row r="31" spans="1:23" ht="15.75" thickBot="1" x14ac:dyDescent="0.3">
      <c r="C31" s="27"/>
      <c r="D31" s="27"/>
      <c r="F31" s="39"/>
      <c r="G31" s="27"/>
      <c r="I31" s="27"/>
      <c r="J31" s="39"/>
      <c r="N31" s="39"/>
      <c r="R31" s="39"/>
      <c r="S31" s="39"/>
    </row>
    <row r="32" spans="1:23" ht="15.75" thickBot="1" x14ac:dyDescent="0.3">
      <c r="A32" t="s">
        <v>14</v>
      </c>
      <c r="B32" t="s">
        <v>6</v>
      </c>
      <c r="C32" s="1">
        <f t="shared" ref="C32:S32" si="17">+C28/C4</f>
        <v>22064.333333333332</v>
      </c>
      <c r="D32" s="1">
        <f t="shared" si="17"/>
        <v>22803.545454545456</v>
      </c>
      <c r="E32" s="10">
        <f t="shared" si="17"/>
        <v>22226.76923076923</v>
      </c>
      <c r="F32" s="12">
        <f t="shared" si="17"/>
        <v>22348.861111111109</v>
      </c>
      <c r="G32" s="11">
        <f t="shared" si="17"/>
        <v>21230.6</v>
      </c>
      <c r="H32" s="1">
        <f t="shared" si="17"/>
        <v>22008.125</v>
      </c>
      <c r="I32" s="1">
        <f t="shared" si="17"/>
        <v>31831.777777777777</v>
      </c>
      <c r="J32" s="12">
        <f t="shared" si="17"/>
        <v>23926.875</v>
      </c>
      <c r="K32" s="1">
        <f t="shared" si="17"/>
        <v>27670.416666666668</v>
      </c>
      <c r="L32" s="1">
        <f t="shared" si="17"/>
        <v>36156.625</v>
      </c>
      <c r="M32" s="1">
        <f t="shared" si="17"/>
        <v>30165.777777777777</v>
      </c>
      <c r="N32" s="12">
        <f t="shared" si="17"/>
        <v>30785.862068965518</v>
      </c>
      <c r="O32" s="1">
        <f t="shared" si="17"/>
        <v>28233.333333333332</v>
      </c>
      <c r="P32" s="1">
        <f t="shared" si="17"/>
        <v>27374.5</v>
      </c>
      <c r="Q32" s="1">
        <f t="shared" si="17"/>
        <v>23745.599999999999</v>
      </c>
      <c r="R32" s="12">
        <f t="shared" si="17"/>
        <v>26316.740740740741</v>
      </c>
      <c r="S32" s="12">
        <f t="shared" si="17"/>
        <v>25492.242424242424</v>
      </c>
    </row>
    <row r="33" spans="1:19" ht="15.75" thickBot="1" x14ac:dyDescent="0.3">
      <c r="A33" t="s">
        <v>14</v>
      </c>
      <c r="B33" t="s">
        <v>10</v>
      </c>
      <c r="C33" s="13">
        <f t="shared" ref="C33:S33" si="18">+C29/C4</f>
        <v>3937.2549999999997</v>
      </c>
      <c r="D33" s="13">
        <f t="shared" si="18"/>
        <v>4455.5472727272727</v>
      </c>
      <c r="E33" s="14">
        <f t="shared" si="18"/>
        <v>2711.9292307692308</v>
      </c>
      <c r="F33" s="15">
        <f t="shared" si="18"/>
        <v>3653.1433333333325</v>
      </c>
      <c r="G33" s="16">
        <f t="shared" si="18"/>
        <v>1547.7326666666668</v>
      </c>
      <c r="H33" s="13">
        <f t="shared" si="18"/>
        <v>1503.2474999999999</v>
      </c>
      <c r="I33" s="13">
        <f t="shared" si="18"/>
        <v>3931.7288888888888</v>
      </c>
      <c r="J33" s="15">
        <f t="shared" si="18"/>
        <v>2066.3377499999997</v>
      </c>
      <c r="K33" s="13">
        <f t="shared" si="18"/>
        <v>4058.9708333333333</v>
      </c>
      <c r="L33" s="13">
        <f t="shared" si="18"/>
        <v>4298.7700000000004</v>
      </c>
      <c r="M33" s="13">
        <f t="shared" si="18"/>
        <v>3440.1855555555553</v>
      </c>
      <c r="N33" s="15">
        <f t="shared" si="18"/>
        <v>3933.085517241379</v>
      </c>
      <c r="O33" s="13">
        <f t="shared" si="18"/>
        <v>3747.0411111111116</v>
      </c>
      <c r="P33" s="13">
        <f t="shared" si="18"/>
        <v>3427.87</v>
      </c>
      <c r="Q33" s="13">
        <f t="shared" si="18"/>
        <v>3763.2820000000002</v>
      </c>
      <c r="R33" s="15">
        <f t="shared" si="18"/>
        <v>3658.4870370370368</v>
      </c>
      <c r="S33" s="15">
        <f t="shared" si="18"/>
        <v>3234.8886363636357</v>
      </c>
    </row>
    <row r="34" spans="1:19" ht="15.75" thickBot="1" x14ac:dyDescent="0.3">
      <c r="A34" t="s">
        <v>20</v>
      </c>
      <c r="B34" t="s">
        <v>6</v>
      </c>
      <c r="C34" s="30">
        <f t="shared" ref="C34:S34" si="19">+C28/C5</f>
        <v>0.91806734708383986</v>
      </c>
      <c r="D34" s="30">
        <f t="shared" si="19"/>
        <v>0.84901183009487491</v>
      </c>
      <c r="E34" s="33">
        <f t="shared" si="19"/>
        <v>0.7580168410760193</v>
      </c>
      <c r="F34" s="31">
        <f t="shared" si="19"/>
        <v>0.83370611615632984</v>
      </c>
      <c r="G34" s="36">
        <f t="shared" si="19"/>
        <v>0.67856755358731657</v>
      </c>
      <c r="H34" s="30">
        <f t="shared" si="19"/>
        <v>0.6881558457141812</v>
      </c>
      <c r="I34" s="30">
        <f t="shared" si="19"/>
        <v>0.96303794054037561</v>
      </c>
      <c r="J34" s="31">
        <f t="shared" si="19"/>
        <v>0.74859610512112551</v>
      </c>
      <c r="K34" s="30">
        <f t="shared" si="19"/>
        <v>0.87456575924855695</v>
      </c>
      <c r="L34" s="30">
        <f t="shared" si="19"/>
        <v>1.1441606050187327</v>
      </c>
      <c r="M34" s="30">
        <f t="shared" si="19"/>
        <v>1.2050011997105781</v>
      </c>
      <c r="N34" s="31">
        <f t="shared" si="19"/>
        <v>1.0408136903973602</v>
      </c>
      <c r="O34" s="30">
        <f t="shared" si="19"/>
        <v>1.4520829761700669</v>
      </c>
      <c r="P34" s="30">
        <f t="shared" si="19"/>
        <v>1.3283232996590151</v>
      </c>
      <c r="Q34" s="30">
        <f t="shared" si="19"/>
        <v>1.2390237376235116</v>
      </c>
      <c r="R34" s="31">
        <f t="shared" si="19"/>
        <v>1.3368700884085287</v>
      </c>
      <c r="S34" s="31">
        <f t="shared" si="19"/>
        <v>0.9262717625145801</v>
      </c>
    </row>
    <row r="35" spans="1:19" ht="15.75" thickBot="1" x14ac:dyDescent="0.3">
      <c r="A35" t="s">
        <v>19</v>
      </c>
      <c r="B35" t="s">
        <v>10</v>
      </c>
      <c r="C35" s="25">
        <f t="shared" ref="C35:S35" si="20">+C29/C5</f>
        <v>0.16382390521547222</v>
      </c>
      <c r="D35" s="25">
        <f t="shared" si="20"/>
        <v>0.16588702627987079</v>
      </c>
      <c r="E35" s="34">
        <f t="shared" si="20"/>
        <v>9.2487037022171287E-2</v>
      </c>
      <c r="F35" s="26">
        <f t="shared" si="20"/>
        <v>0.13627754564555983</v>
      </c>
      <c r="G35" s="37">
        <f t="shared" si="20"/>
        <v>4.9468275471591661E-2</v>
      </c>
      <c r="H35" s="25">
        <f t="shared" si="20"/>
        <v>4.7003938530893866E-2</v>
      </c>
      <c r="I35" s="25">
        <f t="shared" si="20"/>
        <v>0.11895044374687731</v>
      </c>
      <c r="J35" s="26">
        <f t="shared" si="20"/>
        <v>6.4649160891873669E-2</v>
      </c>
      <c r="K35" s="25">
        <f t="shared" si="20"/>
        <v>0.12828996944228335</v>
      </c>
      <c r="L35" s="25">
        <f t="shared" si="20"/>
        <v>0.13603269896004891</v>
      </c>
      <c r="M35" s="25">
        <f t="shared" si="20"/>
        <v>0.13742154278963287</v>
      </c>
      <c r="N35" s="26">
        <f t="shared" si="20"/>
        <v>0.13297042787621266</v>
      </c>
      <c r="O35" s="25">
        <f t="shared" si="20"/>
        <v>0.1927159837705012</v>
      </c>
      <c r="P35" s="25">
        <f t="shared" si="20"/>
        <v>0.16633434726486868</v>
      </c>
      <c r="Q35" s="25">
        <f t="shared" si="20"/>
        <v>0.19636462036635352</v>
      </c>
      <c r="R35" s="26">
        <f t="shared" si="20"/>
        <v>0.18584831369613952</v>
      </c>
      <c r="S35" s="26">
        <f t="shared" si="20"/>
        <v>0.11754109147704679</v>
      </c>
    </row>
    <row r="37" spans="1:19" ht="15.75" thickBot="1" x14ac:dyDescent="0.3">
      <c r="A37" s="22" t="s">
        <v>16</v>
      </c>
    </row>
    <row r="38" spans="1:19" ht="15.75" thickBot="1" x14ac:dyDescent="0.3">
      <c r="A38" t="s">
        <v>14</v>
      </c>
      <c r="B38" t="s">
        <v>10</v>
      </c>
      <c r="C38" s="1">
        <f t="shared" ref="C38:S38" si="21">IF(+C4&gt;0,+(C14+C23+C33),"")</f>
        <v>8324.4182661207706</v>
      </c>
      <c r="D38" s="13">
        <f t="shared" si="21"/>
        <v>8989.4844957112182</v>
      </c>
      <c r="E38" s="14">
        <f t="shared" si="21"/>
        <v>6952.5231810559471</v>
      </c>
      <c r="F38" s="15">
        <f t="shared" si="21"/>
        <v>8032.2263888888874</v>
      </c>
      <c r="G38" s="16">
        <f t="shared" si="21"/>
        <v>4888.3559999999998</v>
      </c>
      <c r="H38" s="13">
        <f t="shared" si="21"/>
        <v>4819.0987499999992</v>
      </c>
      <c r="I38" s="13">
        <f t="shared" si="21"/>
        <v>8266.2099999999991</v>
      </c>
      <c r="J38" s="15">
        <f t="shared" si="21"/>
        <v>5620.6702500000001</v>
      </c>
      <c r="K38" s="13">
        <f t="shared" si="21"/>
        <v>7293.9158333333326</v>
      </c>
      <c r="L38" s="13">
        <f t="shared" si="21"/>
        <v>8142.3737500000007</v>
      </c>
      <c r="M38" s="13">
        <f t="shared" si="21"/>
        <v>6675.4</v>
      </c>
      <c r="N38" s="15">
        <f t="shared" si="21"/>
        <v>7336.0199999999995</v>
      </c>
      <c r="O38" s="13">
        <f t="shared" si="21"/>
        <v>7645.1340200303748</v>
      </c>
      <c r="P38" s="13">
        <f t="shared" si="21"/>
        <v>7431.9182180458074</v>
      </c>
      <c r="Q38" s="13">
        <f t="shared" si="21"/>
        <v>7308.958807536018</v>
      </c>
      <c r="R38" s="15">
        <f t="shared" si="21"/>
        <v>7457.4496296296293</v>
      </c>
      <c r="S38" s="15">
        <f t="shared" si="21"/>
        <v>7030.9293939393929</v>
      </c>
    </row>
    <row r="39" spans="1:19" ht="15.75" thickBot="1" x14ac:dyDescent="0.3">
      <c r="A39" t="s">
        <v>19</v>
      </c>
      <c r="B39" t="s">
        <v>10</v>
      </c>
      <c r="C39" s="23">
        <f t="shared" ref="C39:S39" si="22">+C16+C25+C35</f>
        <v>0.34636789057424899</v>
      </c>
      <c r="D39" s="23">
        <f t="shared" si="22"/>
        <v>0.33469263358746504</v>
      </c>
      <c r="E39" s="35">
        <f t="shared" si="22"/>
        <v>0.23710731885928868</v>
      </c>
      <c r="F39" s="24">
        <f t="shared" si="22"/>
        <v>0.29963568315522132</v>
      </c>
      <c r="G39" s="38">
        <f t="shared" si="22"/>
        <v>0.15624051001779887</v>
      </c>
      <c r="H39" s="23">
        <f t="shared" si="22"/>
        <v>0.15068484824974426</v>
      </c>
      <c r="I39" s="23">
        <f t="shared" si="22"/>
        <v>0.25008574481918255</v>
      </c>
      <c r="J39" s="24">
        <f t="shared" si="22"/>
        <v>0.17585296271745401</v>
      </c>
      <c r="K39" s="23">
        <f t="shared" si="22"/>
        <v>0.23053534449876029</v>
      </c>
      <c r="L39" s="23">
        <f t="shared" si="22"/>
        <v>0.25766186075411213</v>
      </c>
      <c r="M39" s="23">
        <f t="shared" si="22"/>
        <v>0.26665531609377779</v>
      </c>
      <c r="N39" s="24">
        <f t="shared" si="22"/>
        <v>0.24801741890235826</v>
      </c>
      <c r="O39" s="23">
        <f t="shared" si="22"/>
        <v>0.39320078964668481</v>
      </c>
      <c r="P39" s="23">
        <f t="shared" si="22"/>
        <v>0.36062723082396225</v>
      </c>
      <c r="Q39" s="23">
        <f t="shared" si="22"/>
        <v>0.38137480037773575</v>
      </c>
      <c r="R39" s="24">
        <f t="shared" si="22"/>
        <v>0.37883267703554147</v>
      </c>
      <c r="S39" s="24">
        <f t="shared" si="22"/>
        <v>0.25547189036797141</v>
      </c>
    </row>
    <row r="42" spans="1:19" ht="15.75" thickBot="1" x14ac:dyDescent="0.3">
      <c r="A42" s="22" t="s">
        <v>26</v>
      </c>
      <c r="B42" s="22"/>
    </row>
    <row r="43" spans="1:19" ht="15.75" thickBot="1" x14ac:dyDescent="0.3">
      <c r="A43" t="s">
        <v>6</v>
      </c>
      <c r="C43" s="1">
        <v>131890</v>
      </c>
      <c r="D43" s="1">
        <v>133860</v>
      </c>
      <c r="E43" s="10">
        <v>161390</v>
      </c>
      <c r="F43" s="12">
        <f>SUM(C43:E43)</f>
        <v>427140</v>
      </c>
      <c r="G43" s="11">
        <v>212700</v>
      </c>
      <c r="H43" s="1">
        <v>250320</v>
      </c>
      <c r="I43" s="10">
        <v>208620</v>
      </c>
      <c r="J43" s="12">
        <f>SUM(G43:I43)</f>
        <v>671640</v>
      </c>
      <c r="K43" s="11">
        <v>258220</v>
      </c>
      <c r="L43" s="1">
        <v>225920</v>
      </c>
      <c r="M43" s="1">
        <v>182500</v>
      </c>
      <c r="N43" s="12">
        <f>SUM(K43:M43)</f>
        <v>666640</v>
      </c>
      <c r="O43" s="10">
        <v>145640</v>
      </c>
      <c r="P43" s="1">
        <v>106300</v>
      </c>
      <c r="Q43" s="1">
        <v>109470</v>
      </c>
      <c r="R43" s="12">
        <f>SUM(O43:Q43)</f>
        <v>361410</v>
      </c>
      <c r="S43" s="12">
        <f>F43+J43+N43+R43</f>
        <v>2126830</v>
      </c>
    </row>
    <row r="44" spans="1:19" ht="15.75" thickBot="1" x14ac:dyDescent="0.3">
      <c r="A44" t="s">
        <v>15</v>
      </c>
      <c r="C44" s="13">
        <f>+C43*C45</f>
        <v>9682.0449000000008</v>
      </c>
      <c r="D44" s="13">
        <f>+D43*D45</f>
        <v>9082.4009999999998</v>
      </c>
      <c r="E44" s="13">
        <f>+E43*E45</f>
        <v>10898.666700000002</v>
      </c>
      <c r="F44" s="15">
        <f>SUM(C44:E44)</f>
        <v>29663.1126</v>
      </c>
      <c r="G44" s="13">
        <f>+G43*G45</f>
        <v>8580.3179999999993</v>
      </c>
      <c r="H44" s="13">
        <f>+H43*H45</f>
        <v>6565.8936000000003</v>
      </c>
      <c r="I44" s="13">
        <f>+I43*I45</f>
        <v>5588.9297999999999</v>
      </c>
      <c r="J44" s="15">
        <f>SUM(G44:I44)</f>
        <v>20735.1414</v>
      </c>
      <c r="K44" s="13">
        <f>+K43*K45</f>
        <v>13729.5574</v>
      </c>
      <c r="L44" s="13">
        <f>+L43*L45</f>
        <v>10062.476799999999</v>
      </c>
      <c r="M44" s="13">
        <f>+M43*M45</f>
        <v>8064.6750000000002</v>
      </c>
      <c r="N44" s="15">
        <f>SUM(K44:M44)</f>
        <v>31856.709199999998</v>
      </c>
      <c r="O44" s="13">
        <f>+O43*O45</f>
        <v>5950.8504000000003</v>
      </c>
      <c r="P44" s="13">
        <f>+P43*P45</f>
        <v>5653.0339999999997</v>
      </c>
      <c r="Q44" s="13">
        <f>+Q43*Q45</f>
        <v>4717.0623000000005</v>
      </c>
      <c r="R44" s="15">
        <f>SUM(O44:Q44)</f>
        <v>16320.9467</v>
      </c>
      <c r="S44" s="15">
        <f>F44+J44+N44+R44</f>
        <v>98575.909899999999</v>
      </c>
    </row>
    <row r="45" spans="1:19" ht="15.75" thickBot="1" x14ac:dyDescent="0.3">
      <c r="A45" t="s">
        <v>23</v>
      </c>
      <c r="C45" s="13">
        <f>73.41/1000</f>
        <v>7.3410000000000003E-2</v>
      </c>
      <c r="D45" s="13">
        <f>67.85/1000</f>
        <v>6.7849999999999994E-2</v>
      </c>
      <c r="E45" s="14">
        <f>67.53/1000</f>
        <v>6.7530000000000007E-2</v>
      </c>
      <c r="F45" s="15">
        <f t="shared" ref="F45:S45" si="23">+F44/F43</f>
        <v>6.9445878634639691E-2</v>
      </c>
      <c r="G45" s="13">
        <f>40.34/1000</f>
        <v>4.0340000000000001E-2</v>
      </c>
      <c r="H45" s="13">
        <f>26.23/1000</f>
        <v>2.623E-2</v>
      </c>
      <c r="I45" s="13">
        <f>26.79/1000</f>
        <v>2.6789999999999998E-2</v>
      </c>
      <c r="J45" s="15">
        <f t="shared" si="23"/>
        <v>3.0872403966410576E-2</v>
      </c>
      <c r="K45" s="13">
        <f>53.17/1000</f>
        <v>5.3170000000000002E-2</v>
      </c>
      <c r="L45" s="13">
        <f>44.54/1000</f>
        <v>4.4539999999999996E-2</v>
      </c>
      <c r="M45" s="13">
        <f>44.19/1000</f>
        <v>4.419E-2</v>
      </c>
      <c r="N45" s="15">
        <f t="shared" si="23"/>
        <v>4.7786975279011157E-2</v>
      </c>
      <c r="O45" s="13">
        <f>40.86/1000</f>
        <v>4.086E-2</v>
      </c>
      <c r="P45" s="13">
        <f>53.18/1000</f>
        <v>5.3179999999999998E-2</v>
      </c>
      <c r="Q45" s="13">
        <f>43.09/1000</f>
        <v>4.3090000000000003E-2</v>
      </c>
      <c r="R45" s="15">
        <f t="shared" si="23"/>
        <v>4.5159089953238703E-2</v>
      </c>
      <c r="S45" s="15">
        <f t="shared" si="23"/>
        <v>4.634874903024689E-2</v>
      </c>
    </row>
    <row r="46" spans="1:19" x14ac:dyDescent="0.25">
      <c r="C46" s="79">
        <f t="shared" ref="C46:R46" si="24">+C44/C29</f>
        <v>0.20492375398596233</v>
      </c>
      <c r="D46" s="79">
        <f t="shared" si="24"/>
        <v>0.18531344583320242</v>
      </c>
      <c r="E46" s="79">
        <f t="shared" si="24"/>
        <v>0.30913748316554668</v>
      </c>
      <c r="F46" s="79">
        <f t="shared" si="24"/>
        <v>0.22555242836534387</v>
      </c>
      <c r="G46" s="79">
        <f t="shared" si="24"/>
        <v>0.36958656512171134</v>
      </c>
      <c r="H46" s="79">
        <f t="shared" si="24"/>
        <v>0.27298788123712164</v>
      </c>
      <c r="I46" s="79">
        <f t="shared" si="24"/>
        <v>0.1579437996742174</v>
      </c>
      <c r="J46" s="79">
        <f t="shared" si="24"/>
        <v>0.25086824987831735</v>
      </c>
      <c r="K46" s="79">
        <f t="shared" si="24"/>
        <v>0.28187681811789317</v>
      </c>
      <c r="L46" s="79">
        <f t="shared" si="24"/>
        <v>0.29259755697559992</v>
      </c>
      <c r="M46" s="79">
        <f t="shared" si="24"/>
        <v>0.26047286855004914</v>
      </c>
      <c r="N46" s="79">
        <f t="shared" si="24"/>
        <v>0.27929909201760345</v>
      </c>
      <c r="O46" s="79">
        <f t="shared" si="24"/>
        <v>0.17646072738282087</v>
      </c>
      <c r="P46" s="79">
        <f t="shared" si="24"/>
        <v>0.20614237121011006</v>
      </c>
      <c r="Q46" s="79">
        <f t="shared" si="24"/>
        <v>0.12534437493655806</v>
      </c>
      <c r="R46" s="79">
        <f t="shared" si="24"/>
        <v>0.16522663639037186</v>
      </c>
      <c r="S46" s="79">
        <f>+S44/S29</f>
        <v>0.2308540664483556</v>
      </c>
    </row>
    <row r="47" spans="1:19" x14ac:dyDescent="0.25">
      <c r="H47" s="5"/>
      <c r="I47" s="5"/>
      <c r="L47" s="5"/>
      <c r="M47" s="5"/>
      <c r="O47" s="5"/>
    </row>
    <row r="48" spans="1:19" x14ac:dyDescent="0.25">
      <c r="L48" s="5"/>
      <c r="M48" s="5"/>
      <c r="O48" s="5"/>
    </row>
    <row r="49" spans="16:21" x14ac:dyDescent="0.25">
      <c r="P49" s="5"/>
      <c r="U49" s="5"/>
    </row>
  </sheetData>
  <pageMargins left="0.27559055118110237" right="0.27559055118110237" top="0.19685039370078741" bottom="0.31496062992125984" header="0.19685039370078741" footer="0.23622047244094491"/>
  <pageSetup paperSize="9" scale="6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31A3C-AD61-4195-BA64-36C811DE51B1}">
  <sheetPr>
    <pageSetUpPr fitToPage="1"/>
  </sheetPr>
  <dimension ref="A1:W49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G16" sqref="G16"/>
    </sheetView>
  </sheetViews>
  <sheetFormatPr baseColWidth="10" defaultRowHeight="15" x14ac:dyDescent="0.25"/>
  <cols>
    <col min="1" max="1" width="15.7109375" customWidth="1"/>
    <col min="2" max="2" width="5" bestFit="1" customWidth="1"/>
    <col min="3" max="3" width="12" bestFit="1" customWidth="1"/>
    <col min="4" max="4" width="11" bestFit="1" customWidth="1"/>
    <col min="5" max="5" width="10.85546875" bestFit="1" customWidth="1"/>
    <col min="6" max="6" width="11.7109375" bestFit="1" customWidth="1"/>
    <col min="7" max="9" width="10.140625" bestFit="1" customWidth="1"/>
    <col min="10" max="10" width="11.7109375" bestFit="1" customWidth="1"/>
    <col min="11" max="13" width="10.140625" bestFit="1" customWidth="1"/>
    <col min="14" max="14" width="11.7109375" bestFit="1" customWidth="1"/>
    <col min="15" max="17" width="10.140625" bestFit="1" customWidth="1"/>
    <col min="18" max="19" width="11.7109375" bestFit="1" customWidth="1"/>
  </cols>
  <sheetData>
    <row r="1" spans="1:19" ht="24" thickBot="1" x14ac:dyDescent="0.4">
      <c r="A1" s="44" t="s">
        <v>5</v>
      </c>
      <c r="B1" s="3"/>
      <c r="C1" s="77">
        <v>16102.56</v>
      </c>
      <c r="D1" s="77"/>
      <c r="E1" s="77"/>
      <c r="G1" s="77"/>
      <c r="H1" s="77"/>
      <c r="I1" s="77"/>
      <c r="K1" s="77"/>
      <c r="L1" s="77"/>
      <c r="M1" s="77"/>
      <c r="O1" s="77"/>
      <c r="P1" s="77"/>
      <c r="Q1" s="77"/>
      <c r="S1" s="27">
        <f>SUM(C1:R1)</f>
        <v>16102.56</v>
      </c>
    </row>
    <row r="2" spans="1:19" ht="27" thickBot="1" x14ac:dyDescent="0.45">
      <c r="A2" s="32">
        <v>2026</v>
      </c>
      <c r="C2" s="80">
        <v>46023</v>
      </c>
      <c r="D2" s="80">
        <v>46054</v>
      </c>
      <c r="E2" s="80">
        <v>46082</v>
      </c>
      <c r="F2" s="42" t="s">
        <v>0</v>
      </c>
      <c r="G2" s="43">
        <v>46113</v>
      </c>
      <c r="H2" s="43">
        <v>46143</v>
      </c>
      <c r="I2" s="43">
        <v>46174</v>
      </c>
      <c r="J2" s="42" t="s">
        <v>2</v>
      </c>
      <c r="K2" s="43">
        <v>46204</v>
      </c>
      <c r="L2" s="43">
        <v>46235</v>
      </c>
      <c r="M2" s="43">
        <v>46266</v>
      </c>
      <c r="N2" s="42" t="s">
        <v>3</v>
      </c>
      <c r="O2" s="43">
        <v>46296</v>
      </c>
      <c r="P2" s="43">
        <v>46327</v>
      </c>
      <c r="Q2" s="43">
        <v>46357</v>
      </c>
      <c r="R2" s="42" t="s">
        <v>4</v>
      </c>
      <c r="S2" s="42" t="s">
        <v>7</v>
      </c>
    </row>
    <row r="3" spans="1:19" ht="15.75" thickBot="1" x14ac:dyDescent="0.3">
      <c r="C3" s="78">
        <f>+C1/C29</f>
        <v>0.38555606183336039</v>
      </c>
      <c r="D3" s="78">
        <f>+D1/D29</f>
        <v>0</v>
      </c>
      <c r="E3" s="78">
        <f>+E1/E29</f>
        <v>0</v>
      </c>
      <c r="F3" s="39"/>
      <c r="G3" s="78">
        <f>+G1/G29</f>
        <v>0</v>
      </c>
      <c r="H3" s="78" t="e">
        <f>+H1/H29</f>
        <v>#DIV/0!</v>
      </c>
      <c r="I3" s="78" t="e">
        <f>+I1/I29</f>
        <v>#DIV/0!</v>
      </c>
      <c r="J3" s="39"/>
      <c r="K3" s="78" t="e">
        <f>+K1/K29</f>
        <v>#DIV/0!</v>
      </c>
      <c r="L3" s="78" t="e">
        <f>+L1/L29</f>
        <v>#DIV/0!</v>
      </c>
      <c r="M3" s="78" t="e">
        <f>+M1/M29</f>
        <v>#DIV/0!</v>
      </c>
      <c r="N3" s="39"/>
      <c r="O3" s="78" t="e">
        <f>+O1/O29</f>
        <v>#DIV/0!</v>
      </c>
      <c r="P3" s="78" t="e">
        <f>+P1/P29</f>
        <v>#DIV/0!</v>
      </c>
      <c r="Q3" s="78" t="e">
        <f>+Q1/Q29</f>
        <v>#DIV/0!</v>
      </c>
      <c r="R3" s="39"/>
      <c r="S3" s="78">
        <f>+S1/S29</f>
        <v>0.13022370817188025</v>
      </c>
    </row>
    <row r="4" spans="1:19" ht="15.75" thickBot="1" x14ac:dyDescent="0.3">
      <c r="A4" t="s">
        <v>9</v>
      </c>
      <c r="C4" s="6">
        <v>12</v>
      </c>
      <c r="D4" s="6">
        <v>5</v>
      </c>
      <c r="E4" s="7">
        <v>12</v>
      </c>
      <c r="F4" s="9">
        <f>SUM(C4:E4)</f>
        <v>29</v>
      </c>
      <c r="G4" s="8">
        <v>15</v>
      </c>
      <c r="H4" s="6"/>
      <c r="I4" s="7"/>
      <c r="J4" s="9">
        <f>SUM(G4:I4)</f>
        <v>15</v>
      </c>
      <c r="K4" s="8"/>
      <c r="L4" s="6"/>
      <c r="M4" s="7"/>
      <c r="N4" s="9">
        <f>SUM(K4:M4)</f>
        <v>0</v>
      </c>
      <c r="O4" s="7"/>
      <c r="P4" s="6"/>
      <c r="Q4" s="7"/>
      <c r="R4" s="9">
        <f>SUM(O4:Q4)</f>
        <v>0</v>
      </c>
      <c r="S4" s="9">
        <f>F4+J4+N4+R4</f>
        <v>44</v>
      </c>
    </row>
    <row r="5" spans="1:19" ht="15.75" thickBot="1" x14ac:dyDescent="0.3">
      <c r="A5" t="s">
        <v>17</v>
      </c>
      <c r="C5" s="13">
        <v>325836.18</v>
      </c>
      <c r="D5" s="13">
        <v>77411</v>
      </c>
      <c r="E5" s="14">
        <v>265663.95</v>
      </c>
      <c r="F5" s="15">
        <f>SUM(C5:E5)</f>
        <v>668911.13</v>
      </c>
      <c r="G5" s="16">
        <v>404361.12000000005</v>
      </c>
      <c r="H5" s="13"/>
      <c r="I5" s="13"/>
      <c r="J5" s="15">
        <f>SUM(G5:I5)</f>
        <v>404361.12000000005</v>
      </c>
      <c r="K5" s="13"/>
      <c r="L5" s="13"/>
      <c r="M5" s="13"/>
      <c r="N5" s="15">
        <f>SUM(K5:M5)</f>
        <v>0</v>
      </c>
      <c r="O5" s="13"/>
      <c r="P5" s="13"/>
      <c r="Q5" s="13"/>
      <c r="R5" s="15">
        <f>SUM(O5:Q5)</f>
        <v>0</v>
      </c>
      <c r="S5" s="15">
        <f>F5+J5+N5+R5</f>
        <v>1073272.25</v>
      </c>
    </row>
    <row r="6" spans="1:19" x14ac:dyDescent="0.25">
      <c r="E6" s="27"/>
      <c r="F6" s="39"/>
      <c r="J6" s="39"/>
      <c r="N6" s="39"/>
      <c r="R6" s="39"/>
      <c r="S6" s="39"/>
    </row>
    <row r="7" spans="1:19" x14ac:dyDescent="0.25">
      <c r="A7" s="22" t="s">
        <v>11</v>
      </c>
      <c r="B7" s="22"/>
      <c r="D7" s="29"/>
      <c r="F7" s="39"/>
      <c r="J7" s="39"/>
      <c r="N7" s="39"/>
      <c r="R7" s="39"/>
      <c r="S7" s="39"/>
    </row>
    <row r="8" spans="1:19" ht="15.75" thickBot="1" x14ac:dyDescent="0.3">
      <c r="F8" s="39"/>
      <c r="J8" s="39"/>
      <c r="L8" s="5"/>
      <c r="N8" s="39"/>
      <c r="R8" s="39"/>
      <c r="S8" s="39"/>
    </row>
    <row r="9" spans="1:19" ht="15.75" thickBot="1" x14ac:dyDescent="0.3">
      <c r="A9" t="s">
        <v>6</v>
      </c>
      <c r="C9" s="1">
        <v>540488</v>
      </c>
      <c r="D9" s="1">
        <v>374228</v>
      </c>
      <c r="E9" s="10">
        <v>495005</v>
      </c>
      <c r="F9" s="12">
        <f>SUM(C9:E9)</f>
        <v>1409721</v>
      </c>
      <c r="G9" s="11">
        <v>478530</v>
      </c>
      <c r="H9" s="1"/>
      <c r="I9" s="10"/>
      <c r="J9" s="12">
        <f>SUM(G9:I9)</f>
        <v>478530</v>
      </c>
      <c r="K9" s="11"/>
      <c r="L9" s="1"/>
      <c r="M9" s="10"/>
      <c r="N9" s="12">
        <f>SUM(K9:M9)</f>
        <v>0</v>
      </c>
      <c r="O9" s="10"/>
      <c r="P9" s="1"/>
      <c r="Q9" s="10"/>
      <c r="R9" s="12">
        <f>SUM(O9:Q9)</f>
        <v>0</v>
      </c>
      <c r="S9" s="12">
        <f>F9+J9+N9+R9</f>
        <v>1888251</v>
      </c>
    </row>
    <row r="10" spans="1:19" ht="15.75" thickBot="1" x14ac:dyDescent="0.3">
      <c r="A10" t="s">
        <v>15</v>
      </c>
      <c r="C10" s="13">
        <v>23157</v>
      </c>
      <c r="D10" s="13">
        <v>16285.04</v>
      </c>
      <c r="E10" s="14">
        <v>22645.65</v>
      </c>
      <c r="F10" s="15">
        <f>SUM(C10:E10)</f>
        <v>62087.69</v>
      </c>
      <c r="G10" s="16">
        <v>23350.47</v>
      </c>
      <c r="H10" s="13"/>
      <c r="I10" s="14"/>
      <c r="J10" s="15">
        <f>SUM(G10:I10)</f>
        <v>23350.47</v>
      </c>
      <c r="K10" s="16"/>
      <c r="L10" s="13"/>
      <c r="M10" s="14"/>
      <c r="N10" s="15">
        <f>SUM(K10:M10)</f>
        <v>0</v>
      </c>
      <c r="O10" s="16"/>
      <c r="P10" s="13"/>
      <c r="Q10" s="14"/>
      <c r="R10" s="15">
        <f>SUM(O10:Q10)</f>
        <v>0</v>
      </c>
      <c r="S10" s="15">
        <f>F10+J10+N10+R10</f>
        <v>85438.16</v>
      </c>
    </row>
    <row r="11" spans="1:19" ht="15.75" thickBot="1" x14ac:dyDescent="0.3">
      <c r="A11" t="s">
        <v>23</v>
      </c>
      <c r="C11" s="62">
        <f>+C10/C9</f>
        <v>4.2844614496529064E-2</v>
      </c>
      <c r="D11" s="62">
        <f>+D10/D9</f>
        <v>4.3516359011084152E-2</v>
      </c>
      <c r="E11" s="62">
        <f>+E10/E9</f>
        <v>4.5748325774487127E-2</v>
      </c>
      <c r="F11" s="15">
        <f t="shared" ref="F11:S11" si="0">+F10/F9</f>
        <v>4.4042537495007882E-2</v>
      </c>
      <c r="G11" s="62">
        <f>+G10/G9</f>
        <v>4.8796251018744907E-2</v>
      </c>
      <c r="H11" s="62"/>
      <c r="I11" s="13"/>
      <c r="J11" s="15">
        <f t="shared" si="0"/>
        <v>4.8796251018744907E-2</v>
      </c>
      <c r="K11" s="13"/>
      <c r="L11" s="13"/>
      <c r="M11" s="13"/>
      <c r="N11" s="15" t="e">
        <f t="shared" si="0"/>
        <v>#DIV/0!</v>
      </c>
      <c r="O11" s="13"/>
      <c r="P11" s="13"/>
      <c r="Q11" s="13"/>
      <c r="R11" s="15" t="e">
        <f t="shared" si="0"/>
        <v>#DIV/0!</v>
      </c>
      <c r="S11" s="15">
        <f t="shared" si="0"/>
        <v>4.5247247320403909E-2</v>
      </c>
    </row>
    <row r="12" spans="1:19" ht="15.75" thickBot="1" x14ac:dyDescent="0.3">
      <c r="F12" s="39"/>
      <c r="G12" s="65"/>
      <c r="J12" s="39"/>
      <c r="K12" s="27"/>
      <c r="N12" s="39"/>
      <c r="R12" s="39"/>
      <c r="S12" s="39"/>
    </row>
    <row r="13" spans="1:19" ht="15.75" thickBot="1" x14ac:dyDescent="0.3">
      <c r="A13" t="s">
        <v>14</v>
      </c>
      <c r="B13" t="s">
        <v>6</v>
      </c>
      <c r="C13" s="1">
        <f t="shared" ref="C13:S13" si="1">+C9/C4</f>
        <v>45040.666666666664</v>
      </c>
      <c r="D13" s="1">
        <f t="shared" si="1"/>
        <v>74845.600000000006</v>
      </c>
      <c r="E13" s="10">
        <f t="shared" si="1"/>
        <v>41250.416666666664</v>
      </c>
      <c r="F13" s="12">
        <f t="shared" si="1"/>
        <v>48611.068965517239</v>
      </c>
      <c r="G13" s="11">
        <f t="shared" si="1"/>
        <v>31902</v>
      </c>
      <c r="H13" s="1" t="e">
        <f t="shared" si="1"/>
        <v>#DIV/0!</v>
      </c>
      <c r="I13" s="1" t="e">
        <f t="shared" si="1"/>
        <v>#DIV/0!</v>
      </c>
      <c r="J13" s="12">
        <f t="shared" si="1"/>
        <v>31902</v>
      </c>
      <c r="K13" s="1" t="e">
        <f t="shared" si="1"/>
        <v>#DIV/0!</v>
      </c>
      <c r="L13" s="1" t="e">
        <f t="shared" si="1"/>
        <v>#DIV/0!</v>
      </c>
      <c r="M13" s="1" t="e">
        <f t="shared" si="1"/>
        <v>#DIV/0!</v>
      </c>
      <c r="N13" s="12" t="e">
        <f t="shared" si="1"/>
        <v>#DIV/0!</v>
      </c>
      <c r="O13" s="1" t="e">
        <f t="shared" si="1"/>
        <v>#DIV/0!</v>
      </c>
      <c r="P13" s="1" t="e">
        <f t="shared" si="1"/>
        <v>#DIV/0!</v>
      </c>
      <c r="Q13" s="1" t="e">
        <f t="shared" si="1"/>
        <v>#DIV/0!</v>
      </c>
      <c r="R13" s="12" t="e">
        <f t="shared" si="1"/>
        <v>#DIV/0!</v>
      </c>
      <c r="S13" s="12">
        <f t="shared" si="1"/>
        <v>42914.795454545456</v>
      </c>
    </row>
    <row r="14" spans="1:19" ht="15.75" thickBot="1" x14ac:dyDescent="0.3">
      <c r="A14" t="s">
        <v>14</v>
      </c>
      <c r="B14" t="s">
        <v>10</v>
      </c>
      <c r="C14" s="13">
        <f t="shared" ref="C14:S14" si="2">+C10/C4</f>
        <v>1929.75</v>
      </c>
      <c r="D14" s="13">
        <f t="shared" si="2"/>
        <v>3257.0080000000003</v>
      </c>
      <c r="E14" s="14">
        <f t="shared" si="2"/>
        <v>1887.1375</v>
      </c>
      <c r="F14" s="15">
        <f t="shared" si="2"/>
        <v>2140.9548275862071</v>
      </c>
      <c r="G14" s="16">
        <f t="shared" si="2"/>
        <v>1556.6980000000001</v>
      </c>
      <c r="H14" s="13" t="e">
        <f t="shared" si="2"/>
        <v>#DIV/0!</v>
      </c>
      <c r="I14" s="13" t="e">
        <f t="shared" si="2"/>
        <v>#DIV/0!</v>
      </c>
      <c r="J14" s="15">
        <f t="shared" si="2"/>
        <v>1556.6980000000001</v>
      </c>
      <c r="K14" s="13" t="e">
        <f t="shared" si="2"/>
        <v>#DIV/0!</v>
      </c>
      <c r="L14" s="13" t="e">
        <f t="shared" si="2"/>
        <v>#DIV/0!</v>
      </c>
      <c r="M14" s="13" t="e">
        <f t="shared" si="2"/>
        <v>#DIV/0!</v>
      </c>
      <c r="N14" s="15" t="e">
        <f t="shared" si="2"/>
        <v>#DIV/0!</v>
      </c>
      <c r="O14" s="13" t="e">
        <f t="shared" si="2"/>
        <v>#DIV/0!</v>
      </c>
      <c r="P14" s="13" t="e">
        <f t="shared" si="2"/>
        <v>#DIV/0!</v>
      </c>
      <c r="Q14" s="13" t="e">
        <f t="shared" si="2"/>
        <v>#DIV/0!</v>
      </c>
      <c r="R14" s="15" t="e">
        <f t="shared" si="2"/>
        <v>#DIV/0!</v>
      </c>
      <c r="S14" s="15">
        <f t="shared" si="2"/>
        <v>1941.7763636363636</v>
      </c>
    </row>
    <row r="15" spans="1:19" ht="15.75" thickBot="1" x14ac:dyDescent="0.3">
      <c r="A15" t="s">
        <v>20</v>
      </c>
      <c r="B15" t="s">
        <v>6</v>
      </c>
      <c r="C15" s="30">
        <f>+C9/C5</f>
        <v>1.6587722087829535</v>
      </c>
      <c r="D15" s="30">
        <f t="shared" ref="D15:R15" si="3">+D9/D5</f>
        <v>4.8343000348787637</v>
      </c>
      <c r="E15" s="33">
        <f t="shared" si="3"/>
        <v>1.8632750134145035</v>
      </c>
      <c r="F15" s="31">
        <f t="shared" si="3"/>
        <v>2.1074862366245872</v>
      </c>
      <c r="G15" s="36">
        <f t="shared" si="3"/>
        <v>1.1834223824486387</v>
      </c>
      <c r="H15" s="30" t="e">
        <f t="shared" si="3"/>
        <v>#DIV/0!</v>
      </c>
      <c r="I15" s="30" t="e">
        <f t="shared" si="3"/>
        <v>#DIV/0!</v>
      </c>
      <c r="J15" s="31">
        <f t="shared" si="3"/>
        <v>1.1834223824486387</v>
      </c>
      <c r="K15" s="30" t="e">
        <f t="shared" si="3"/>
        <v>#DIV/0!</v>
      </c>
      <c r="L15" s="30" t="e">
        <f t="shared" si="3"/>
        <v>#DIV/0!</v>
      </c>
      <c r="M15" s="30" t="e">
        <f t="shared" si="3"/>
        <v>#DIV/0!</v>
      </c>
      <c r="N15" s="31" t="e">
        <f t="shared" si="3"/>
        <v>#DIV/0!</v>
      </c>
      <c r="O15" s="30" t="e">
        <f t="shared" si="3"/>
        <v>#DIV/0!</v>
      </c>
      <c r="P15" s="30" t="e">
        <f t="shared" si="3"/>
        <v>#DIV/0!</v>
      </c>
      <c r="Q15" s="30" t="e">
        <f t="shared" si="3"/>
        <v>#DIV/0!</v>
      </c>
      <c r="R15" s="31" t="e">
        <f t="shared" si="3"/>
        <v>#DIV/0!</v>
      </c>
      <c r="S15" s="31">
        <f>+S9/S5</f>
        <v>1.7593401860525137</v>
      </c>
    </row>
    <row r="16" spans="1:19" ht="15.75" thickBot="1" x14ac:dyDescent="0.3">
      <c r="A16" t="s">
        <v>19</v>
      </c>
      <c r="B16" t="s">
        <v>10</v>
      </c>
      <c r="C16" s="25">
        <f t="shared" ref="C16:S16" si="4">+C10/C5</f>
        <v>7.1069455822861657E-2</v>
      </c>
      <c r="D16" s="25">
        <f t="shared" si="4"/>
        <v>0.21037113588508094</v>
      </c>
      <c r="E16" s="34">
        <f t="shared" si="4"/>
        <v>8.5241712321148577E-2</v>
      </c>
      <c r="F16" s="26">
        <f t="shared" si="4"/>
        <v>9.2819041596751431E-2</v>
      </c>
      <c r="G16" s="37">
        <f t="shared" si="4"/>
        <v>5.7746575635164922E-2</v>
      </c>
      <c r="H16" s="25" t="e">
        <f t="shared" si="4"/>
        <v>#DIV/0!</v>
      </c>
      <c r="I16" s="25" t="e">
        <f t="shared" si="4"/>
        <v>#DIV/0!</v>
      </c>
      <c r="J16" s="26">
        <f t="shared" si="4"/>
        <v>5.7746575635164922E-2</v>
      </c>
      <c r="K16" s="25" t="e">
        <f t="shared" si="4"/>
        <v>#DIV/0!</v>
      </c>
      <c r="L16" s="25" t="e">
        <f t="shared" si="4"/>
        <v>#DIV/0!</v>
      </c>
      <c r="M16" s="25" t="e">
        <f t="shared" si="4"/>
        <v>#DIV/0!</v>
      </c>
      <c r="N16" s="26" t="e">
        <f t="shared" si="4"/>
        <v>#DIV/0!</v>
      </c>
      <c r="O16" s="25" t="e">
        <f t="shared" si="4"/>
        <v>#DIV/0!</v>
      </c>
      <c r="P16" s="25" t="e">
        <f t="shared" si="4"/>
        <v>#DIV/0!</v>
      </c>
      <c r="Q16" s="25" t="e">
        <f t="shared" si="4"/>
        <v>#DIV/0!</v>
      </c>
      <c r="R16" s="26" t="e">
        <f t="shared" si="4"/>
        <v>#DIV/0!</v>
      </c>
      <c r="S16" s="26">
        <f t="shared" si="4"/>
        <v>7.960530051904352E-2</v>
      </c>
    </row>
    <row r="18" spans="1:23" ht="15.75" thickBot="1" x14ac:dyDescent="0.3">
      <c r="A18" s="22" t="s">
        <v>12</v>
      </c>
      <c r="B18" s="22"/>
    </row>
    <row r="19" spans="1:23" ht="15.75" thickBot="1" x14ac:dyDescent="0.3">
      <c r="A19" t="s">
        <v>1</v>
      </c>
      <c r="C19" s="1">
        <v>4375</v>
      </c>
      <c r="D19" s="1">
        <v>4097</v>
      </c>
      <c r="E19" s="1">
        <v>7206</v>
      </c>
      <c r="F19" s="12">
        <f>SUM(C19:E19)</f>
        <v>15678</v>
      </c>
      <c r="G19" s="11"/>
      <c r="H19" s="11"/>
      <c r="I19" s="11"/>
      <c r="J19" s="12">
        <f>SUM(G19:I19)</f>
        <v>0</v>
      </c>
      <c r="K19" s="11"/>
      <c r="L19" s="11"/>
      <c r="M19" s="11"/>
      <c r="N19" s="12">
        <f>SUM(K19:M19)</f>
        <v>0</v>
      </c>
      <c r="O19" s="11"/>
      <c r="P19" s="11"/>
      <c r="Q19" s="11"/>
      <c r="R19" s="12">
        <f>SUM(O19:Q19)</f>
        <v>0</v>
      </c>
      <c r="S19" s="12">
        <f>F19+J19+N19+R19</f>
        <v>15678</v>
      </c>
    </row>
    <row r="20" spans="1:23" ht="15.75" thickBot="1" x14ac:dyDescent="0.3">
      <c r="A20" t="s">
        <v>15</v>
      </c>
      <c r="C20" s="13">
        <v>11550</v>
      </c>
      <c r="D20" s="13">
        <f>(25656.6+35919.24+36+36)/$F$5*D5</f>
        <v>7134.3123596104606</v>
      </c>
      <c r="E20" s="13">
        <f>-23384.48+40783.92</f>
        <v>17399.439999999999</v>
      </c>
      <c r="F20" s="15">
        <f>SUM(C20:E20)</f>
        <v>36083.752359610458</v>
      </c>
      <c r="G20" s="16"/>
      <c r="H20" s="16"/>
      <c r="I20" s="16"/>
      <c r="J20" s="12">
        <f>SUM(G20:I20)</f>
        <v>0</v>
      </c>
      <c r="K20" s="16"/>
      <c r="L20" s="16"/>
      <c r="M20" s="16"/>
      <c r="N20" s="12">
        <f>SUM(K20:M20)</f>
        <v>0</v>
      </c>
      <c r="O20" s="16"/>
      <c r="P20" s="16"/>
      <c r="Q20" s="16"/>
      <c r="R20" s="12">
        <f>SUM(O20:Q20)</f>
        <v>0</v>
      </c>
      <c r="S20" s="15">
        <f>F20+J20+N20+R20</f>
        <v>36083.752359610458</v>
      </c>
    </row>
    <row r="21" spans="1:23" ht="15.75" thickBot="1" x14ac:dyDescent="0.3">
      <c r="C21" s="27">
        <f t="shared" ref="C21:S21" si="5">+C20/C19</f>
        <v>2.64</v>
      </c>
      <c r="D21" s="27">
        <f t="shared" si="5"/>
        <v>1.74135034405918</v>
      </c>
      <c r="E21" s="27">
        <f t="shared" si="5"/>
        <v>2.4145767416042183</v>
      </c>
      <c r="F21" s="27">
        <f t="shared" si="5"/>
        <v>2.3015532822815703</v>
      </c>
      <c r="G21" s="27" t="e">
        <f t="shared" si="5"/>
        <v>#DIV/0!</v>
      </c>
      <c r="H21" s="27" t="e">
        <f t="shared" si="5"/>
        <v>#DIV/0!</v>
      </c>
      <c r="I21" s="27" t="e">
        <f t="shared" si="5"/>
        <v>#DIV/0!</v>
      </c>
      <c r="J21" s="27" t="e">
        <f t="shared" si="5"/>
        <v>#DIV/0!</v>
      </c>
      <c r="K21" s="27" t="e">
        <f t="shared" si="5"/>
        <v>#DIV/0!</v>
      </c>
      <c r="L21" s="27" t="e">
        <f t="shared" si="5"/>
        <v>#DIV/0!</v>
      </c>
      <c r="M21" s="27" t="e">
        <f t="shared" si="5"/>
        <v>#DIV/0!</v>
      </c>
      <c r="N21" s="27" t="e">
        <f t="shared" si="5"/>
        <v>#DIV/0!</v>
      </c>
      <c r="O21" s="27" t="e">
        <f t="shared" si="5"/>
        <v>#DIV/0!</v>
      </c>
      <c r="P21" s="27" t="e">
        <f t="shared" si="5"/>
        <v>#DIV/0!</v>
      </c>
      <c r="Q21" s="27" t="e">
        <f t="shared" si="5"/>
        <v>#DIV/0!</v>
      </c>
      <c r="R21" s="27" t="e">
        <f t="shared" si="5"/>
        <v>#DIV/0!</v>
      </c>
      <c r="S21" s="27">
        <f t="shared" si="5"/>
        <v>2.3015532822815703</v>
      </c>
      <c r="T21" s="27"/>
      <c r="U21" s="27"/>
    </row>
    <row r="22" spans="1:23" ht="15.75" thickBot="1" x14ac:dyDescent="0.3">
      <c r="A22" t="s">
        <v>14</v>
      </c>
      <c r="B22" t="s">
        <v>1</v>
      </c>
      <c r="C22" s="1">
        <f t="shared" ref="C22:M22" si="6">+C19/C4</f>
        <v>364.58333333333331</v>
      </c>
      <c r="D22" s="1">
        <f t="shared" si="6"/>
        <v>819.4</v>
      </c>
      <c r="E22" s="1">
        <f t="shared" si="6"/>
        <v>600.5</v>
      </c>
      <c r="F22" s="15">
        <f t="shared" si="6"/>
        <v>540.62068965517244</v>
      </c>
      <c r="G22" s="1">
        <f t="shared" si="6"/>
        <v>0</v>
      </c>
      <c r="H22" s="1" t="e">
        <f t="shared" si="6"/>
        <v>#DIV/0!</v>
      </c>
      <c r="I22" s="1" t="e">
        <f t="shared" si="6"/>
        <v>#DIV/0!</v>
      </c>
      <c r="J22" s="15">
        <f>+J19/J4</f>
        <v>0</v>
      </c>
      <c r="K22" s="1" t="e">
        <f t="shared" si="6"/>
        <v>#DIV/0!</v>
      </c>
      <c r="L22" s="1" t="e">
        <f t="shared" si="6"/>
        <v>#DIV/0!</v>
      </c>
      <c r="M22" s="1" t="e">
        <f t="shared" si="6"/>
        <v>#DIV/0!</v>
      </c>
      <c r="N22" s="15" t="e">
        <f>+N19/N4</f>
        <v>#DIV/0!</v>
      </c>
      <c r="O22" s="1" t="e">
        <f t="shared" ref="O22:Q22" si="7">+O19/O4</f>
        <v>#DIV/0!</v>
      </c>
      <c r="P22" s="1" t="e">
        <f t="shared" si="7"/>
        <v>#DIV/0!</v>
      </c>
      <c r="Q22" s="1" t="e">
        <f t="shared" si="7"/>
        <v>#DIV/0!</v>
      </c>
      <c r="R22" s="15" t="e">
        <f>+R19/R4</f>
        <v>#DIV/0!</v>
      </c>
      <c r="S22" s="15">
        <f>+S19/S4</f>
        <v>356.31818181818181</v>
      </c>
    </row>
    <row r="23" spans="1:23" ht="15.75" thickBot="1" x14ac:dyDescent="0.3">
      <c r="A23" t="s">
        <v>14</v>
      </c>
      <c r="B23" t="s">
        <v>10</v>
      </c>
      <c r="C23" s="13">
        <f t="shared" ref="C23:M23" si="8">+C20/C4</f>
        <v>962.5</v>
      </c>
      <c r="D23" s="13">
        <f t="shared" si="8"/>
        <v>1426.862471922092</v>
      </c>
      <c r="E23" s="13">
        <f t="shared" si="8"/>
        <v>1449.9533333333331</v>
      </c>
      <c r="F23" s="15">
        <f t="shared" si="8"/>
        <v>1244.2673227451883</v>
      </c>
      <c r="G23" s="13">
        <f t="shared" si="8"/>
        <v>0</v>
      </c>
      <c r="H23" s="13" t="e">
        <f t="shared" si="8"/>
        <v>#DIV/0!</v>
      </c>
      <c r="I23" s="13" t="e">
        <f t="shared" si="8"/>
        <v>#DIV/0!</v>
      </c>
      <c r="J23" s="15">
        <f>+J20/J4</f>
        <v>0</v>
      </c>
      <c r="K23" s="13" t="e">
        <f t="shared" si="8"/>
        <v>#DIV/0!</v>
      </c>
      <c r="L23" s="13" t="e">
        <f t="shared" si="8"/>
        <v>#DIV/0!</v>
      </c>
      <c r="M23" s="13" t="e">
        <f t="shared" si="8"/>
        <v>#DIV/0!</v>
      </c>
      <c r="N23" s="15" t="e">
        <f>+N20/N4</f>
        <v>#DIV/0!</v>
      </c>
      <c r="O23" s="13" t="e">
        <f t="shared" ref="O23:Q23" si="9">+O20/O4</f>
        <v>#DIV/0!</v>
      </c>
      <c r="P23" s="13" t="e">
        <f t="shared" si="9"/>
        <v>#DIV/0!</v>
      </c>
      <c r="Q23" s="13" t="e">
        <f t="shared" si="9"/>
        <v>#DIV/0!</v>
      </c>
      <c r="R23" s="15" t="e">
        <f>+R20/R4</f>
        <v>#DIV/0!</v>
      </c>
      <c r="S23" s="15">
        <f>+S20/S4</f>
        <v>820.08528090023765</v>
      </c>
    </row>
    <row r="24" spans="1:23" ht="15.75" thickBot="1" x14ac:dyDescent="0.3">
      <c r="A24" t="s">
        <v>21</v>
      </c>
      <c r="B24" t="s">
        <v>1</v>
      </c>
      <c r="C24" s="23">
        <f t="shared" ref="C24:M24" si="10">+C19/C5</f>
        <v>1.342699266852441E-2</v>
      </c>
      <c r="D24" s="23">
        <f t="shared" si="10"/>
        <v>5.2925294854736404E-2</v>
      </c>
      <c r="E24" s="23">
        <f t="shared" si="10"/>
        <v>2.7124493180200021E-2</v>
      </c>
      <c r="F24" s="31">
        <f t="shared" si="10"/>
        <v>2.3438091095897895E-2</v>
      </c>
      <c r="G24" s="23">
        <f t="shared" si="10"/>
        <v>0</v>
      </c>
      <c r="H24" s="23" t="e">
        <f t="shared" si="10"/>
        <v>#DIV/0!</v>
      </c>
      <c r="I24" s="23" t="e">
        <f t="shared" si="10"/>
        <v>#DIV/0!</v>
      </c>
      <c r="J24" s="31">
        <f>+J19/J5</f>
        <v>0</v>
      </c>
      <c r="K24" s="23" t="e">
        <f t="shared" si="10"/>
        <v>#DIV/0!</v>
      </c>
      <c r="L24" s="23" t="e">
        <f t="shared" si="10"/>
        <v>#DIV/0!</v>
      </c>
      <c r="M24" s="23" t="e">
        <f t="shared" si="10"/>
        <v>#DIV/0!</v>
      </c>
      <c r="N24" s="31" t="e">
        <f>+N19/N5</f>
        <v>#DIV/0!</v>
      </c>
      <c r="O24" s="23" t="e">
        <f t="shared" ref="O24:Q24" si="11">+O19/O5</f>
        <v>#DIV/0!</v>
      </c>
      <c r="P24" s="23" t="e">
        <f t="shared" si="11"/>
        <v>#DIV/0!</v>
      </c>
      <c r="Q24" s="23" t="e">
        <f t="shared" si="11"/>
        <v>#DIV/0!</v>
      </c>
      <c r="R24" s="31" t="e">
        <f>+R19/R5</f>
        <v>#DIV/0!</v>
      </c>
      <c r="S24" s="31">
        <f>+S19/S5</f>
        <v>1.4607663619365916E-2</v>
      </c>
    </row>
    <row r="25" spans="1:23" ht="15.75" thickBot="1" x14ac:dyDescent="0.3">
      <c r="A25" t="s">
        <v>19</v>
      </c>
      <c r="B25" t="s">
        <v>10</v>
      </c>
      <c r="C25" s="23">
        <f t="shared" ref="C25:M25" si="12">+C20/C5</f>
        <v>3.5447260644904444E-2</v>
      </c>
      <c r="D25" s="23">
        <f t="shared" si="12"/>
        <v>9.2161480404728796E-2</v>
      </c>
      <c r="E25" s="23">
        <f t="shared" si="12"/>
        <v>6.5494170360713214E-2</v>
      </c>
      <c r="F25" s="26">
        <f t="shared" si="12"/>
        <v>5.3944015492178247E-2</v>
      </c>
      <c r="G25" s="23">
        <f t="shared" si="12"/>
        <v>0</v>
      </c>
      <c r="H25" s="23" t="e">
        <f t="shared" si="12"/>
        <v>#DIV/0!</v>
      </c>
      <c r="I25" s="23" t="e">
        <f t="shared" si="12"/>
        <v>#DIV/0!</v>
      </c>
      <c r="J25" s="26">
        <f>+J20/J5</f>
        <v>0</v>
      </c>
      <c r="K25" s="23" t="e">
        <f t="shared" si="12"/>
        <v>#DIV/0!</v>
      </c>
      <c r="L25" s="23" t="e">
        <f t="shared" si="12"/>
        <v>#DIV/0!</v>
      </c>
      <c r="M25" s="23" t="e">
        <f t="shared" si="12"/>
        <v>#DIV/0!</v>
      </c>
      <c r="N25" s="26" t="e">
        <f>+N20/N5</f>
        <v>#DIV/0!</v>
      </c>
      <c r="O25" s="23" t="e">
        <f t="shared" ref="O25:Q25" si="13">+O20/O5</f>
        <v>#DIV/0!</v>
      </c>
      <c r="P25" s="23" t="e">
        <f t="shared" si="13"/>
        <v>#DIV/0!</v>
      </c>
      <c r="Q25" s="23" t="e">
        <f t="shared" si="13"/>
        <v>#DIV/0!</v>
      </c>
      <c r="R25" s="26" t="e">
        <f>+R20/R5</f>
        <v>#DIV/0!</v>
      </c>
      <c r="S25" s="26">
        <f>+S20/S5</f>
        <v>3.3620316149616705E-2</v>
      </c>
    </row>
    <row r="26" spans="1:23" x14ac:dyDescent="0.25"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ht="15.75" thickBot="1" x14ac:dyDescent="0.3">
      <c r="A27" s="22" t="s">
        <v>13</v>
      </c>
      <c r="B27" s="22"/>
    </row>
    <row r="28" spans="1:23" ht="15.75" thickBot="1" x14ac:dyDescent="0.3">
      <c r="A28" t="s">
        <v>6</v>
      </c>
      <c r="C28" s="1">
        <v>267458</v>
      </c>
      <c r="D28" s="1">
        <v>176550</v>
      </c>
      <c r="E28" s="10">
        <v>248862</v>
      </c>
      <c r="F28" s="12">
        <f>SUM(C28:E28)</f>
        <v>692870</v>
      </c>
      <c r="G28" s="11">
        <v>295353</v>
      </c>
      <c r="H28" s="1"/>
      <c r="I28" s="10"/>
      <c r="J28" s="12">
        <f>SUM(G28:I28)</f>
        <v>295353</v>
      </c>
      <c r="K28" s="11"/>
      <c r="L28" s="1"/>
      <c r="M28" s="10"/>
      <c r="N28" s="12">
        <f>SUM(K28:M28)</f>
        <v>0</v>
      </c>
      <c r="O28" s="11"/>
      <c r="P28" s="1"/>
      <c r="Q28" s="10"/>
      <c r="R28" s="12">
        <f>SUM(O28:Q28)</f>
        <v>0</v>
      </c>
      <c r="S28" s="12">
        <f>F28+J28+N28+R28</f>
        <v>988223</v>
      </c>
    </row>
    <row r="29" spans="1:23" ht="15.75" thickBot="1" x14ac:dyDescent="0.3">
      <c r="A29" t="s">
        <v>15</v>
      </c>
      <c r="C29" s="13">
        <v>41764.51</v>
      </c>
      <c r="D29" s="1">
        <v>18357.46</v>
      </c>
      <c r="E29" s="14">
        <v>28464.400000000001</v>
      </c>
      <c r="F29" s="15">
        <f>SUM(C29:E29)</f>
        <v>88586.37</v>
      </c>
      <c r="G29" s="14">
        <v>35066.69</v>
      </c>
      <c r="H29" s="13"/>
      <c r="I29" s="14"/>
      <c r="J29" s="15">
        <f>SUM(G29:I29)</f>
        <v>35066.69</v>
      </c>
      <c r="K29" s="14"/>
      <c r="L29" s="13"/>
      <c r="M29" s="14"/>
      <c r="N29" s="15">
        <f>SUM(K29:M29)</f>
        <v>0</v>
      </c>
      <c r="O29" s="16"/>
      <c r="P29" s="13"/>
      <c r="Q29" s="14"/>
      <c r="R29" s="15">
        <f>SUM(O29:Q29)</f>
        <v>0</v>
      </c>
      <c r="S29" s="15">
        <f>F29+J29+N29+R29</f>
        <v>123653.06</v>
      </c>
    </row>
    <row r="30" spans="1:23" ht="15.75" thickBot="1" x14ac:dyDescent="0.3">
      <c r="A30" t="s">
        <v>23</v>
      </c>
      <c r="C30" s="13">
        <f>+C29/C28</f>
        <v>0.15615352690889786</v>
      </c>
      <c r="D30" s="13">
        <f>+D29/D28</f>
        <v>0.10397881619937695</v>
      </c>
      <c r="E30" s="13">
        <f>+E29/E28</f>
        <v>0.11437824979305801</v>
      </c>
      <c r="F30" s="15">
        <f t="shared" ref="F30:S30" si="14">+F29/F28</f>
        <v>0.12785424394186498</v>
      </c>
      <c r="G30" s="13">
        <f>+G29/G28</f>
        <v>0.11872806438397444</v>
      </c>
      <c r="H30" s="13"/>
      <c r="I30" s="13"/>
      <c r="J30" s="15">
        <f t="shared" si="14"/>
        <v>0.11872806438397444</v>
      </c>
      <c r="K30" s="13"/>
      <c r="L30" s="13"/>
      <c r="M30" s="13"/>
      <c r="N30" s="15" t="e">
        <f t="shared" si="14"/>
        <v>#DIV/0!</v>
      </c>
      <c r="O30" s="13"/>
      <c r="P30" s="13"/>
      <c r="Q30" s="13"/>
      <c r="R30" s="15" t="e">
        <f t="shared" si="14"/>
        <v>#DIV/0!</v>
      </c>
      <c r="S30" s="15">
        <f t="shared" si="14"/>
        <v>0.12512667687353968</v>
      </c>
      <c r="T30" s="27"/>
      <c r="U30" s="27"/>
      <c r="W30" s="27"/>
    </row>
    <row r="31" spans="1:23" ht="15.75" thickBot="1" x14ac:dyDescent="0.3">
      <c r="C31" s="27"/>
      <c r="D31" s="27"/>
      <c r="F31" s="39"/>
      <c r="G31" s="27"/>
      <c r="I31" s="27"/>
      <c r="J31" s="39"/>
      <c r="N31" s="39"/>
      <c r="R31" s="39"/>
      <c r="S31" s="39"/>
    </row>
    <row r="32" spans="1:23" ht="15.75" thickBot="1" x14ac:dyDescent="0.3">
      <c r="A32" t="s">
        <v>14</v>
      </c>
      <c r="B32" t="s">
        <v>6</v>
      </c>
      <c r="C32" s="1">
        <f t="shared" ref="C32:S32" si="15">+C28/C4</f>
        <v>22288.166666666668</v>
      </c>
      <c r="D32" s="1">
        <f t="shared" si="15"/>
        <v>35310</v>
      </c>
      <c r="E32" s="10">
        <f t="shared" si="15"/>
        <v>20738.5</v>
      </c>
      <c r="F32" s="12">
        <f t="shared" si="15"/>
        <v>23892.068965517243</v>
      </c>
      <c r="G32" s="11">
        <f t="shared" si="15"/>
        <v>19690.2</v>
      </c>
      <c r="H32" s="1" t="e">
        <f t="shared" si="15"/>
        <v>#DIV/0!</v>
      </c>
      <c r="I32" s="1" t="e">
        <f t="shared" si="15"/>
        <v>#DIV/0!</v>
      </c>
      <c r="J32" s="12">
        <f t="shared" si="15"/>
        <v>19690.2</v>
      </c>
      <c r="K32" s="1" t="e">
        <f t="shared" si="15"/>
        <v>#DIV/0!</v>
      </c>
      <c r="L32" s="1" t="e">
        <f t="shared" si="15"/>
        <v>#DIV/0!</v>
      </c>
      <c r="M32" s="1" t="e">
        <f t="shared" si="15"/>
        <v>#DIV/0!</v>
      </c>
      <c r="N32" s="12" t="e">
        <f t="shared" si="15"/>
        <v>#DIV/0!</v>
      </c>
      <c r="O32" s="1" t="e">
        <f t="shared" si="15"/>
        <v>#DIV/0!</v>
      </c>
      <c r="P32" s="1" t="e">
        <f t="shared" si="15"/>
        <v>#DIV/0!</v>
      </c>
      <c r="Q32" s="1" t="e">
        <f t="shared" si="15"/>
        <v>#DIV/0!</v>
      </c>
      <c r="R32" s="12" t="e">
        <f t="shared" si="15"/>
        <v>#DIV/0!</v>
      </c>
      <c r="S32" s="12">
        <f t="shared" si="15"/>
        <v>22459.613636363636</v>
      </c>
    </row>
    <row r="33" spans="1:19" ht="15.75" thickBot="1" x14ac:dyDescent="0.3">
      <c r="A33" t="s">
        <v>14</v>
      </c>
      <c r="B33" t="s">
        <v>10</v>
      </c>
      <c r="C33" s="13">
        <f t="shared" ref="C33:S33" si="16">+C29/C4</f>
        <v>3480.3758333333335</v>
      </c>
      <c r="D33" s="13">
        <f t="shared" si="16"/>
        <v>3671.4919999999997</v>
      </c>
      <c r="E33" s="14">
        <f t="shared" si="16"/>
        <v>2372.0333333333333</v>
      </c>
      <c r="F33" s="15">
        <f t="shared" si="16"/>
        <v>3054.7024137931035</v>
      </c>
      <c r="G33" s="16">
        <f t="shared" si="16"/>
        <v>2337.7793333333334</v>
      </c>
      <c r="H33" s="13" t="e">
        <f t="shared" si="16"/>
        <v>#DIV/0!</v>
      </c>
      <c r="I33" s="13" t="e">
        <f t="shared" si="16"/>
        <v>#DIV/0!</v>
      </c>
      <c r="J33" s="15">
        <f t="shared" si="16"/>
        <v>2337.7793333333334</v>
      </c>
      <c r="K33" s="13" t="e">
        <f t="shared" si="16"/>
        <v>#DIV/0!</v>
      </c>
      <c r="L33" s="13" t="e">
        <f t="shared" si="16"/>
        <v>#DIV/0!</v>
      </c>
      <c r="M33" s="13" t="e">
        <f t="shared" si="16"/>
        <v>#DIV/0!</v>
      </c>
      <c r="N33" s="15" t="e">
        <f t="shared" si="16"/>
        <v>#DIV/0!</v>
      </c>
      <c r="O33" s="13" t="e">
        <f t="shared" si="16"/>
        <v>#DIV/0!</v>
      </c>
      <c r="P33" s="13" t="e">
        <f t="shared" si="16"/>
        <v>#DIV/0!</v>
      </c>
      <c r="Q33" s="13" t="e">
        <f t="shared" si="16"/>
        <v>#DIV/0!</v>
      </c>
      <c r="R33" s="15" t="e">
        <f t="shared" si="16"/>
        <v>#DIV/0!</v>
      </c>
      <c r="S33" s="15">
        <f t="shared" si="16"/>
        <v>2810.2968181818183</v>
      </c>
    </row>
    <row r="34" spans="1:19" ht="15.75" thickBot="1" x14ac:dyDescent="0.3">
      <c r="A34" t="s">
        <v>20</v>
      </c>
      <c r="B34" t="s">
        <v>6</v>
      </c>
      <c r="C34" s="30">
        <f t="shared" ref="C34:S34" si="17">+C28/C5</f>
        <v>0.82083579546016039</v>
      </c>
      <c r="D34" s="30">
        <f t="shared" si="17"/>
        <v>2.280683623774399</v>
      </c>
      <c r="E34" s="33">
        <f t="shared" si="17"/>
        <v>0.93675487396765722</v>
      </c>
      <c r="F34" s="31">
        <f t="shared" si="17"/>
        <v>1.0358177176690124</v>
      </c>
      <c r="G34" s="36">
        <f t="shared" si="17"/>
        <v>0.73041888893769003</v>
      </c>
      <c r="H34" s="30" t="e">
        <f t="shared" si="17"/>
        <v>#DIV/0!</v>
      </c>
      <c r="I34" s="30" t="e">
        <f t="shared" si="17"/>
        <v>#DIV/0!</v>
      </c>
      <c r="J34" s="31">
        <f t="shared" si="17"/>
        <v>0.73041888893769003</v>
      </c>
      <c r="K34" s="30" t="e">
        <f t="shared" si="17"/>
        <v>#DIV/0!</v>
      </c>
      <c r="L34" s="30" t="e">
        <f t="shared" si="17"/>
        <v>#DIV/0!</v>
      </c>
      <c r="M34" s="30" t="e">
        <f t="shared" si="17"/>
        <v>#DIV/0!</v>
      </c>
      <c r="N34" s="31" t="e">
        <f t="shared" si="17"/>
        <v>#DIV/0!</v>
      </c>
      <c r="O34" s="30" t="e">
        <f t="shared" si="17"/>
        <v>#DIV/0!</v>
      </c>
      <c r="P34" s="30" t="e">
        <f t="shared" si="17"/>
        <v>#DIV/0!</v>
      </c>
      <c r="Q34" s="30" t="e">
        <f t="shared" si="17"/>
        <v>#DIV/0!</v>
      </c>
      <c r="R34" s="31" t="e">
        <f t="shared" si="17"/>
        <v>#DIV/0!</v>
      </c>
      <c r="S34" s="31">
        <f t="shared" si="17"/>
        <v>0.92075705861210888</v>
      </c>
    </row>
    <row r="35" spans="1:19" ht="15.75" thickBot="1" x14ac:dyDescent="0.3">
      <c r="A35" t="s">
        <v>19</v>
      </c>
      <c r="B35" t="s">
        <v>10</v>
      </c>
      <c r="C35" s="25">
        <f t="shared" ref="C35:S35" si="18">+C29/C5</f>
        <v>0.12817640447417472</v>
      </c>
      <c r="D35" s="25">
        <f t="shared" si="18"/>
        <v>0.23714278332536717</v>
      </c>
      <c r="E35" s="34">
        <f t="shared" si="18"/>
        <v>0.10714438296953727</v>
      </c>
      <c r="F35" s="26">
        <f t="shared" si="18"/>
        <v>0.13243369115415973</v>
      </c>
      <c r="G35" s="37">
        <f t="shared" si="18"/>
        <v>8.6721220873065136E-2</v>
      </c>
      <c r="H35" s="25" t="e">
        <f t="shared" si="18"/>
        <v>#DIV/0!</v>
      </c>
      <c r="I35" s="25" t="e">
        <f t="shared" si="18"/>
        <v>#DIV/0!</v>
      </c>
      <c r="J35" s="26">
        <f t="shared" si="18"/>
        <v>8.6721220873065136E-2</v>
      </c>
      <c r="K35" s="25" t="e">
        <f t="shared" si="18"/>
        <v>#DIV/0!</v>
      </c>
      <c r="L35" s="25" t="e">
        <f t="shared" si="18"/>
        <v>#DIV/0!</v>
      </c>
      <c r="M35" s="25" t="e">
        <f t="shared" si="18"/>
        <v>#DIV/0!</v>
      </c>
      <c r="N35" s="26" t="e">
        <f t="shared" si="18"/>
        <v>#DIV/0!</v>
      </c>
      <c r="O35" s="25" t="e">
        <f t="shared" si="18"/>
        <v>#DIV/0!</v>
      </c>
      <c r="P35" s="25" t="e">
        <f t="shared" si="18"/>
        <v>#DIV/0!</v>
      </c>
      <c r="Q35" s="25" t="e">
        <f t="shared" si="18"/>
        <v>#DIV/0!</v>
      </c>
      <c r="R35" s="26" t="e">
        <f t="shared" si="18"/>
        <v>#DIV/0!</v>
      </c>
      <c r="S35" s="26">
        <f t="shared" si="18"/>
        <v>0.11521127095198819</v>
      </c>
    </row>
    <row r="37" spans="1:19" ht="15.75" thickBot="1" x14ac:dyDescent="0.3">
      <c r="A37" s="22" t="s">
        <v>16</v>
      </c>
    </row>
    <row r="38" spans="1:19" ht="15.75" thickBot="1" x14ac:dyDescent="0.3">
      <c r="A38" t="s">
        <v>14</v>
      </c>
      <c r="B38" t="s">
        <v>10</v>
      </c>
      <c r="C38" s="1">
        <f t="shared" ref="C38:S38" si="19">IF(+C4&gt;0,+(C14+C23+C33),"")</f>
        <v>6372.6258333333335</v>
      </c>
      <c r="D38" s="13">
        <f t="shared" si="19"/>
        <v>8355.3624719220916</v>
      </c>
      <c r="E38" s="14">
        <f t="shared" si="19"/>
        <v>5709.1241666666665</v>
      </c>
      <c r="F38" s="15">
        <f t="shared" si="19"/>
        <v>6439.9245641244988</v>
      </c>
      <c r="G38" s="16">
        <f t="shared" si="19"/>
        <v>3894.4773333333333</v>
      </c>
      <c r="H38" s="13" t="str">
        <f t="shared" si="19"/>
        <v/>
      </c>
      <c r="I38" s="13" t="str">
        <f t="shared" si="19"/>
        <v/>
      </c>
      <c r="J38" s="15">
        <f t="shared" si="19"/>
        <v>3894.4773333333333</v>
      </c>
      <c r="K38" s="13" t="str">
        <f t="shared" si="19"/>
        <v/>
      </c>
      <c r="L38" s="13" t="str">
        <f t="shared" si="19"/>
        <v/>
      </c>
      <c r="M38" s="13" t="str">
        <f t="shared" si="19"/>
        <v/>
      </c>
      <c r="N38" s="15" t="str">
        <f t="shared" si="19"/>
        <v/>
      </c>
      <c r="O38" s="13" t="str">
        <f t="shared" si="19"/>
        <v/>
      </c>
      <c r="P38" s="13" t="str">
        <f t="shared" si="19"/>
        <v/>
      </c>
      <c r="Q38" s="13" t="str">
        <f t="shared" si="19"/>
        <v/>
      </c>
      <c r="R38" s="15" t="str">
        <f t="shared" si="19"/>
        <v/>
      </c>
      <c r="S38" s="15">
        <f t="shared" si="19"/>
        <v>5572.1584627184202</v>
      </c>
    </row>
    <row r="39" spans="1:19" ht="15.75" thickBot="1" x14ac:dyDescent="0.3">
      <c r="A39" t="s">
        <v>19</v>
      </c>
      <c r="B39" t="s">
        <v>10</v>
      </c>
      <c r="C39" s="23">
        <f t="shared" ref="C39:S39" si="20">+C16+C25+C35</f>
        <v>0.23469312094194084</v>
      </c>
      <c r="D39" s="23">
        <f t="shared" si="20"/>
        <v>0.53967539961517697</v>
      </c>
      <c r="E39" s="35">
        <f t="shared" si="20"/>
        <v>0.25788026565139904</v>
      </c>
      <c r="F39" s="24">
        <f t="shared" si="20"/>
        <v>0.27919674824308938</v>
      </c>
      <c r="G39" s="38">
        <f t="shared" si="20"/>
        <v>0.14446779650823005</v>
      </c>
      <c r="H39" s="23" t="e">
        <f t="shared" si="20"/>
        <v>#DIV/0!</v>
      </c>
      <c r="I39" s="23" t="e">
        <f t="shared" si="20"/>
        <v>#DIV/0!</v>
      </c>
      <c r="J39" s="24">
        <f t="shared" si="20"/>
        <v>0.14446779650823005</v>
      </c>
      <c r="K39" s="23" t="e">
        <f t="shared" si="20"/>
        <v>#DIV/0!</v>
      </c>
      <c r="L39" s="23" t="e">
        <f t="shared" si="20"/>
        <v>#DIV/0!</v>
      </c>
      <c r="M39" s="23" t="e">
        <f t="shared" si="20"/>
        <v>#DIV/0!</v>
      </c>
      <c r="N39" s="24" t="e">
        <f t="shared" si="20"/>
        <v>#DIV/0!</v>
      </c>
      <c r="O39" s="23" t="e">
        <f t="shared" si="20"/>
        <v>#DIV/0!</v>
      </c>
      <c r="P39" s="23" t="e">
        <f t="shared" si="20"/>
        <v>#DIV/0!</v>
      </c>
      <c r="Q39" s="23" t="e">
        <f t="shared" si="20"/>
        <v>#DIV/0!</v>
      </c>
      <c r="R39" s="24" t="e">
        <f t="shared" si="20"/>
        <v>#DIV/0!</v>
      </c>
      <c r="S39" s="24">
        <f t="shared" si="20"/>
        <v>0.2284368876206484</v>
      </c>
    </row>
    <row r="42" spans="1:19" ht="15.75" thickBot="1" x14ac:dyDescent="0.3">
      <c r="A42" s="22" t="s">
        <v>26</v>
      </c>
      <c r="B42" s="22"/>
    </row>
    <row r="43" spans="1:19" ht="15.75" thickBot="1" x14ac:dyDescent="0.3">
      <c r="A43" t="s">
        <v>6</v>
      </c>
      <c r="C43" s="1">
        <v>124630</v>
      </c>
      <c r="D43" s="1"/>
      <c r="E43" s="10"/>
      <c r="F43" s="12">
        <f>SUM(C43:E43)</f>
        <v>124630</v>
      </c>
      <c r="G43" s="11"/>
      <c r="H43" s="1"/>
      <c r="I43" s="10"/>
      <c r="J43" s="12">
        <f>SUM(G43:I43)</f>
        <v>0</v>
      </c>
      <c r="K43" s="11"/>
      <c r="L43" s="1"/>
      <c r="M43" s="1"/>
      <c r="N43" s="12">
        <f>SUM(K43:M43)</f>
        <v>0</v>
      </c>
      <c r="O43" s="10"/>
      <c r="P43" s="1"/>
      <c r="Q43" s="1"/>
      <c r="R43" s="12">
        <f>SUM(O43:Q43)</f>
        <v>0</v>
      </c>
      <c r="S43" s="12">
        <f>F43+J43+N43+R43</f>
        <v>124630</v>
      </c>
    </row>
    <row r="44" spans="1:19" ht="15.75" thickBot="1" x14ac:dyDescent="0.3">
      <c r="A44" t="s">
        <v>15</v>
      </c>
      <c r="C44" s="13">
        <v>7260.61</v>
      </c>
      <c r="D44" s="13"/>
      <c r="E44" s="13"/>
      <c r="F44" s="15">
        <f>SUM(C44:E44)</f>
        <v>7260.61</v>
      </c>
      <c r="G44" s="13"/>
      <c r="H44" s="13"/>
      <c r="I44" s="13"/>
      <c r="J44" s="15">
        <f>SUM(G44:I44)</f>
        <v>0</v>
      </c>
      <c r="K44" s="13"/>
      <c r="L44" s="13"/>
      <c r="M44" s="13"/>
      <c r="N44" s="15">
        <f>SUM(K44:M44)</f>
        <v>0</v>
      </c>
      <c r="O44" s="13"/>
      <c r="P44" s="13"/>
      <c r="Q44" s="13"/>
      <c r="R44" s="15">
        <f>SUM(O44:Q44)</f>
        <v>0</v>
      </c>
      <c r="S44" s="15">
        <f>F44+J44+N44+R44</f>
        <v>7260.61</v>
      </c>
    </row>
    <row r="45" spans="1:19" ht="15.75" thickBot="1" x14ac:dyDescent="0.3">
      <c r="A45" t="s">
        <v>23</v>
      </c>
      <c r="C45" s="13">
        <f>+C44/C43</f>
        <v>5.8257321672149559E-2</v>
      </c>
      <c r="D45" s="13"/>
      <c r="E45" s="14"/>
      <c r="F45" s="15">
        <f t="shared" ref="F45:S45" si="21">+F44/F43</f>
        <v>5.8257321672149559E-2</v>
      </c>
      <c r="G45" s="13"/>
      <c r="H45" s="13"/>
      <c r="I45" s="13"/>
      <c r="J45" s="15" t="e">
        <f t="shared" si="21"/>
        <v>#DIV/0!</v>
      </c>
      <c r="K45" s="13"/>
      <c r="L45" s="13"/>
      <c r="M45" s="13"/>
      <c r="N45" s="15" t="e">
        <f t="shared" si="21"/>
        <v>#DIV/0!</v>
      </c>
      <c r="O45" s="13"/>
      <c r="P45" s="13"/>
      <c r="Q45" s="13"/>
      <c r="R45" s="15" t="e">
        <f t="shared" si="21"/>
        <v>#DIV/0!</v>
      </c>
      <c r="S45" s="15">
        <f t="shared" si="21"/>
        <v>5.8257321672149559E-2</v>
      </c>
    </row>
    <row r="46" spans="1:19" x14ac:dyDescent="0.25">
      <c r="C46" s="79">
        <f t="shared" ref="C46:R46" si="22">+C44/C29</f>
        <v>0.17384640691342959</v>
      </c>
      <c r="D46" s="79">
        <f t="shared" si="22"/>
        <v>0</v>
      </c>
      <c r="E46" s="79">
        <f t="shared" si="22"/>
        <v>0</v>
      </c>
      <c r="F46" s="79">
        <f t="shared" si="22"/>
        <v>8.1960802773609537E-2</v>
      </c>
      <c r="G46" s="79">
        <f t="shared" si="22"/>
        <v>0</v>
      </c>
      <c r="H46" s="79" t="e">
        <f t="shared" si="22"/>
        <v>#DIV/0!</v>
      </c>
      <c r="I46" s="79" t="e">
        <f t="shared" si="22"/>
        <v>#DIV/0!</v>
      </c>
      <c r="J46" s="79">
        <f t="shared" si="22"/>
        <v>0</v>
      </c>
      <c r="K46" s="79" t="e">
        <f t="shared" si="22"/>
        <v>#DIV/0!</v>
      </c>
      <c r="L46" s="79" t="e">
        <f t="shared" si="22"/>
        <v>#DIV/0!</v>
      </c>
      <c r="M46" s="79" t="e">
        <f t="shared" si="22"/>
        <v>#DIV/0!</v>
      </c>
      <c r="N46" s="79" t="e">
        <f t="shared" si="22"/>
        <v>#DIV/0!</v>
      </c>
      <c r="O46" s="79" t="e">
        <f t="shared" si="22"/>
        <v>#DIV/0!</v>
      </c>
      <c r="P46" s="79" t="e">
        <f t="shared" si="22"/>
        <v>#DIV/0!</v>
      </c>
      <c r="Q46" s="79" t="e">
        <f t="shared" si="22"/>
        <v>#DIV/0!</v>
      </c>
      <c r="R46" s="79" t="e">
        <f t="shared" si="22"/>
        <v>#DIV/0!</v>
      </c>
      <c r="S46" s="79">
        <f>+S44/S29</f>
        <v>5.8717592593341403E-2</v>
      </c>
    </row>
    <row r="47" spans="1:19" x14ac:dyDescent="0.25">
      <c r="H47" s="5"/>
      <c r="I47" s="5"/>
      <c r="L47" s="5"/>
      <c r="M47" s="5"/>
      <c r="O47" s="5"/>
    </row>
    <row r="48" spans="1:19" x14ac:dyDescent="0.25">
      <c r="L48" s="5"/>
      <c r="M48" s="5"/>
      <c r="O48" s="5"/>
    </row>
    <row r="49" spans="16:21" x14ac:dyDescent="0.25">
      <c r="P49" s="5"/>
      <c r="U49" s="5"/>
    </row>
  </sheetData>
  <pageMargins left="0.27559055118110237" right="0.27559055118110237" top="0.19685039370078741" bottom="0.31496062992125984" header="0.19685039370078741" footer="0.23622047244094491"/>
  <pageSetup paperSize="9" scale="6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85AA-C878-4F6C-843F-95577E3E8983}">
  <dimension ref="A1:O366"/>
  <sheetViews>
    <sheetView workbookViewId="0">
      <selection activeCell="F8" sqref="F8"/>
    </sheetView>
  </sheetViews>
  <sheetFormatPr baseColWidth="10" defaultRowHeight="15" x14ac:dyDescent="0.25"/>
  <cols>
    <col min="1" max="1" width="9.7109375" bestFit="1" customWidth="1"/>
    <col min="2" max="2" width="10.42578125" bestFit="1" customWidth="1"/>
    <col min="3" max="3" width="4.7109375" bestFit="1" customWidth="1"/>
    <col min="4" max="4" width="9.42578125" bestFit="1" customWidth="1"/>
    <col min="5" max="7" width="9.7109375" bestFit="1" customWidth="1"/>
    <col min="8" max="8" width="9.85546875" bestFit="1" customWidth="1"/>
    <col min="9" max="9" width="6.7109375" bestFit="1" customWidth="1"/>
    <col min="10" max="10" width="6.7109375" customWidth="1"/>
    <col min="11" max="11" width="5.140625" bestFit="1" customWidth="1"/>
    <col min="12" max="12" width="6.5703125" bestFit="1" customWidth="1"/>
    <col min="13" max="13" width="4.7109375" bestFit="1" customWidth="1"/>
    <col min="14" max="14" width="8.140625" bestFit="1" customWidth="1"/>
    <col min="15" max="15" width="6.140625" customWidth="1"/>
  </cols>
  <sheetData>
    <row r="1" spans="1:15" ht="45" x14ac:dyDescent="0.25">
      <c r="A1" s="82" t="s">
        <v>53</v>
      </c>
      <c r="B1" s="82" t="s">
        <v>54</v>
      </c>
      <c r="C1" s="82" t="s">
        <v>55</v>
      </c>
      <c r="D1" s="83" t="s">
        <v>56</v>
      </c>
      <c r="E1" s="82" t="s">
        <v>57</v>
      </c>
      <c r="F1" s="82" t="s">
        <v>58</v>
      </c>
      <c r="G1" s="82" t="s">
        <v>59</v>
      </c>
      <c r="H1" s="82" t="s">
        <v>60</v>
      </c>
      <c r="I1" s="82" t="s">
        <v>61</v>
      </c>
      <c r="J1" s="84" t="s">
        <v>62</v>
      </c>
      <c r="K1" s="84" t="s">
        <v>63</v>
      </c>
      <c r="L1" s="84" t="s">
        <v>64</v>
      </c>
      <c r="M1" s="84" t="s">
        <v>65</v>
      </c>
      <c r="N1" s="84" t="s">
        <v>66</v>
      </c>
      <c r="O1" s="84" t="s">
        <v>67</v>
      </c>
    </row>
    <row r="2" spans="1:15" x14ac:dyDescent="0.25">
      <c r="A2" t="s">
        <v>68</v>
      </c>
      <c r="B2" s="85">
        <v>45658</v>
      </c>
      <c r="C2" s="86">
        <f>MONTH(B2)</f>
        <v>1</v>
      </c>
      <c r="D2" s="87">
        <v>853983</v>
      </c>
      <c r="E2" s="5">
        <v>0</v>
      </c>
      <c r="F2" s="5">
        <v>12788</v>
      </c>
      <c r="G2" s="5">
        <v>4289</v>
      </c>
      <c r="H2" s="5">
        <v>0</v>
      </c>
      <c r="I2" s="5">
        <v>0</v>
      </c>
      <c r="J2" s="88">
        <v>0</v>
      </c>
      <c r="K2" s="88">
        <v>0</v>
      </c>
      <c r="L2" s="88">
        <v>0</v>
      </c>
      <c r="M2" s="88">
        <v>0</v>
      </c>
      <c r="N2" s="88">
        <v>0</v>
      </c>
      <c r="O2" s="88">
        <v>0</v>
      </c>
    </row>
    <row r="3" spans="1:15" x14ac:dyDescent="0.25">
      <c r="A3" t="s">
        <v>69</v>
      </c>
      <c r="B3" s="85">
        <v>45659</v>
      </c>
      <c r="C3" s="86">
        <f t="shared" ref="C3:C66" si="0">MONTH(B3)</f>
        <v>1</v>
      </c>
      <c r="D3" s="5">
        <v>854488</v>
      </c>
      <c r="E3" s="5">
        <f t="shared" ref="E3:E66" si="1">+D3-D2</f>
        <v>505</v>
      </c>
      <c r="F3" s="5">
        <v>34087</v>
      </c>
      <c r="G3" s="5">
        <v>11557</v>
      </c>
      <c r="H3" s="5">
        <v>29672.7</v>
      </c>
      <c r="I3" s="5">
        <v>0</v>
      </c>
      <c r="J3" s="88">
        <v>0</v>
      </c>
      <c r="K3" s="88">
        <v>0</v>
      </c>
      <c r="L3" s="88">
        <v>0</v>
      </c>
      <c r="M3" s="88">
        <v>0</v>
      </c>
      <c r="N3" s="88">
        <v>0</v>
      </c>
      <c r="O3" s="88">
        <v>0</v>
      </c>
    </row>
    <row r="4" spans="1:15" x14ac:dyDescent="0.25">
      <c r="A4" t="s">
        <v>70</v>
      </c>
      <c r="B4" s="85">
        <v>45660</v>
      </c>
      <c r="C4" s="86">
        <f t="shared" si="0"/>
        <v>1</v>
      </c>
      <c r="D4" s="5">
        <v>854683</v>
      </c>
      <c r="E4" s="5">
        <f t="shared" si="1"/>
        <v>195</v>
      </c>
      <c r="F4" s="5">
        <v>17078</v>
      </c>
      <c r="G4" s="5">
        <v>9505</v>
      </c>
      <c r="H4" s="5">
        <v>0</v>
      </c>
      <c r="I4" s="5">
        <v>3783.0299999999997</v>
      </c>
      <c r="J4" s="88">
        <v>560</v>
      </c>
      <c r="K4" s="88">
        <v>0</v>
      </c>
      <c r="L4" s="88">
        <v>21470</v>
      </c>
      <c r="M4" s="88">
        <v>7</v>
      </c>
      <c r="N4" s="88">
        <f>+L4/M4</f>
        <v>3067.1428571428573</v>
      </c>
      <c r="O4" s="89">
        <f>L4/(I4-J4-K4)</f>
        <v>6.6614334958098445</v>
      </c>
    </row>
    <row r="5" spans="1:15" x14ac:dyDescent="0.25">
      <c r="A5" t="s">
        <v>71</v>
      </c>
      <c r="B5" s="85">
        <v>45661</v>
      </c>
      <c r="C5" s="86">
        <f t="shared" si="0"/>
        <v>1</v>
      </c>
      <c r="D5" s="5">
        <v>854683</v>
      </c>
      <c r="E5" s="5">
        <f t="shared" si="1"/>
        <v>0</v>
      </c>
      <c r="F5" s="5">
        <v>5655</v>
      </c>
      <c r="G5" s="5">
        <v>4770</v>
      </c>
      <c r="H5" s="5">
        <v>0</v>
      </c>
      <c r="I5" s="5">
        <v>0</v>
      </c>
      <c r="J5" s="88">
        <v>0</v>
      </c>
      <c r="K5" s="88">
        <v>0</v>
      </c>
      <c r="L5" s="88">
        <v>0</v>
      </c>
      <c r="M5" s="88">
        <v>0</v>
      </c>
      <c r="N5" s="88">
        <v>0</v>
      </c>
      <c r="O5" s="88">
        <v>0</v>
      </c>
    </row>
    <row r="6" spans="1:15" x14ac:dyDescent="0.25">
      <c r="A6" t="s">
        <v>72</v>
      </c>
      <c r="B6" s="85">
        <v>45662</v>
      </c>
      <c r="C6" s="86">
        <f t="shared" si="0"/>
        <v>1</v>
      </c>
      <c r="D6" s="5">
        <v>854732</v>
      </c>
      <c r="E6" s="5">
        <f t="shared" si="1"/>
        <v>49</v>
      </c>
      <c r="F6" s="5">
        <v>4703</v>
      </c>
      <c r="G6" s="5">
        <v>4320</v>
      </c>
      <c r="H6" s="5">
        <v>0</v>
      </c>
      <c r="I6" s="5">
        <v>0</v>
      </c>
      <c r="J6" s="88">
        <v>0</v>
      </c>
      <c r="K6" s="88">
        <v>0</v>
      </c>
      <c r="L6" s="88">
        <v>0</v>
      </c>
      <c r="M6" s="88">
        <v>0</v>
      </c>
      <c r="N6" s="88">
        <v>0</v>
      </c>
      <c r="O6" s="88">
        <v>0</v>
      </c>
    </row>
    <row r="7" spans="1:15" x14ac:dyDescent="0.25">
      <c r="A7" t="s">
        <v>73</v>
      </c>
      <c r="B7" s="85">
        <v>45663</v>
      </c>
      <c r="C7" s="86">
        <f t="shared" si="0"/>
        <v>1</v>
      </c>
      <c r="D7" s="5">
        <v>854772</v>
      </c>
      <c r="E7" s="5">
        <f t="shared" si="1"/>
        <v>40</v>
      </c>
      <c r="F7" s="5">
        <v>11716</v>
      </c>
      <c r="G7" s="5">
        <v>4619</v>
      </c>
      <c r="H7" s="5">
        <v>0</v>
      </c>
      <c r="I7" s="5">
        <v>0</v>
      </c>
      <c r="J7" s="88">
        <v>0</v>
      </c>
      <c r="K7" s="88">
        <v>0</v>
      </c>
      <c r="L7" s="88">
        <v>0</v>
      </c>
      <c r="M7" s="88">
        <v>0</v>
      </c>
      <c r="N7" s="88">
        <v>0</v>
      </c>
      <c r="O7" s="88">
        <v>0</v>
      </c>
    </row>
    <row r="8" spans="1:15" x14ac:dyDescent="0.25">
      <c r="A8" t="s">
        <v>74</v>
      </c>
      <c r="B8" s="85">
        <v>45664</v>
      </c>
      <c r="C8" s="86">
        <f t="shared" si="0"/>
        <v>1</v>
      </c>
      <c r="D8" s="5">
        <v>855314</v>
      </c>
      <c r="E8" s="5">
        <f t="shared" si="1"/>
        <v>542</v>
      </c>
      <c r="F8" s="5">
        <v>36367</v>
      </c>
      <c r="G8" s="5">
        <v>12679</v>
      </c>
      <c r="H8" s="5">
        <v>29718.7</v>
      </c>
      <c r="I8" s="5">
        <v>0</v>
      </c>
      <c r="J8" s="88">
        <v>0</v>
      </c>
      <c r="K8" s="88">
        <v>0</v>
      </c>
      <c r="L8" s="88">
        <v>0</v>
      </c>
      <c r="M8" s="88">
        <v>0</v>
      </c>
      <c r="N8" s="88">
        <v>0</v>
      </c>
      <c r="O8" s="88">
        <v>0</v>
      </c>
    </row>
    <row r="9" spans="1:15" x14ac:dyDescent="0.25">
      <c r="A9" t="s">
        <v>68</v>
      </c>
      <c r="B9" s="85">
        <v>45665</v>
      </c>
      <c r="C9" s="86">
        <f t="shared" si="0"/>
        <v>1</v>
      </c>
      <c r="D9" s="5">
        <v>855827</v>
      </c>
      <c r="E9" s="5">
        <f t="shared" si="1"/>
        <v>513</v>
      </c>
      <c r="F9" s="5">
        <v>33692</v>
      </c>
      <c r="G9" s="5">
        <v>14453</v>
      </c>
      <c r="H9" s="5">
        <v>25124.080000000002</v>
      </c>
      <c r="I9" s="5">
        <v>0</v>
      </c>
      <c r="J9" s="88">
        <v>0</v>
      </c>
      <c r="K9" s="88">
        <v>0</v>
      </c>
      <c r="L9" s="88">
        <v>0</v>
      </c>
      <c r="M9" s="88">
        <v>0</v>
      </c>
      <c r="N9" s="88">
        <v>0</v>
      </c>
      <c r="O9" s="88">
        <v>0</v>
      </c>
    </row>
    <row r="10" spans="1:15" x14ac:dyDescent="0.25">
      <c r="A10" t="s">
        <v>69</v>
      </c>
      <c r="B10" s="85">
        <v>45666</v>
      </c>
      <c r="C10" s="86">
        <f t="shared" si="0"/>
        <v>1</v>
      </c>
      <c r="D10" s="5">
        <v>855936</v>
      </c>
      <c r="E10" s="5">
        <f t="shared" si="1"/>
        <v>109</v>
      </c>
      <c r="F10" s="5">
        <v>15601</v>
      </c>
      <c r="G10" s="5">
        <v>9335</v>
      </c>
      <c r="H10" s="5">
        <v>0</v>
      </c>
      <c r="I10" s="5">
        <v>5640.0999999999995</v>
      </c>
      <c r="J10" s="88">
        <v>0</v>
      </c>
      <c r="K10" s="88">
        <v>990</v>
      </c>
      <c r="L10" s="88">
        <v>33990</v>
      </c>
      <c r="M10" s="88">
        <v>11</v>
      </c>
      <c r="N10" s="88">
        <f>+L10/M10</f>
        <v>3090</v>
      </c>
      <c r="O10" s="89">
        <f>L10/(I10-J10-K10)</f>
        <v>7.3095202253714984</v>
      </c>
    </row>
    <row r="11" spans="1:15" x14ac:dyDescent="0.25">
      <c r="A11" t="s">
        <v>70</v>
      </c>
      <c r="B11" s="85">
        <v>45667</v>
      </c>
      <c r="C11" s="86">
        <f t="shared" si="0"/>
        <v>1</v>
      </c>
      <c r="D11" s="5">
        <v>856421</v>
      </c>
      <c r="E11" s="5">
        <f t="shared" si="1"/>
        <v>485</v>
      </c>
      <c r="F11" s="5">
        <v>30145</v>
      </c>
      <c r="G11" s="5">
        <v>11494</v>
      </c>
      <c r="H11" s="5">
        <v>22880.11</v>
      </c>
      <c r="I11" s="5">
        <v>0</v>
      </c>
      <c r="J11" s="88">
        <v>0</v>
      </c>
      <c r="K11" s="88">
        <v>0</v>
      </c>
      <c r="L11" s="88">
        <v>0</v>
      </c>
      <c r="M11" s="88">
        <v>0</v>
      </c>
      <c r="N11" s="88">
        <v>0</v>
      </c>
      <c r="O11" s="88">
        <v>0</v>
      </c>
    </row>
    <row r="12" spans="1:15" x14ac:dyDescent="0.25">
      <c r="A12" t="s">
        <v>71</v>
      </c>
      <c r="B12" s="85">
        <v>45668</v>
      </c>
      <c r="C12" s="86">
        <f t="shared" si="0"/>
        <v>1</v>
      </c>
      <c r="D12" s="5">
        <v>856421</v>
      </c>
      <c r="E12" s="5">
        <f t="shared" si="1"/>
        <v>0</v>
      </c>
      <c r="F12" s="5">
        <v>4984</v>
      </c>
      <c r="G12" s="5">
        <v>7040</v>
      </c>
      <c r="H12" s="5">
        <v>0</v>
      </c>
      <c r="I12" s="5">
        <v>0</v>
      </c>
      <c r="J12" s="88">
        <v>0</v>
      </c>
      <c r="K12" s="88">
        <v>0</v>
      </c>
      <c r="L12" s="88">
        <v>0</v>
      </c>
      <c r="M12" s="88">
        <v>0</v>
      </c>
      <c r="N12" s="88">
        <v>0</v>
      </c>
      <c r="O12" s="88">
        <v>0</v>
      </c>
    </row>
    <row r="13" spans="1:15" x14ac:dyDescent="0.25">
      <c r="A13" t="s">
        <v>72</v>
      </c>
      <c r="B13" s="85">
        <v>45669</v>
      </c>
      <c r="C13" s="86">
        <f t="shared" si="0"/>
        <v>1</v>
      </c>
      <c r="D13" s="5">
        <v>856487</v>
      </c>
      <c r="E13" s="5">
        <f t="shared" si="1"/>
        <v>66</v>
      </c>
      <c r="F13" s="5">
        <v>4156</v>
      </c>
      <c r="G13" s="5">
        <v>4542</v>
      </c>
      <c r="H13" s="5">
        <v>0</v>
      </c>
      <c r="I13" s="5">
        <v>0</v>
      </c>
      <c r="J13" s="88">
        <v>0</v>
      </c>
      <c r="K13" s="88">
        <v>0</v>
      </c>
      <c r="L13" s="88">
        <v>0</v>
      </c>
      <c r="M13" s="88">
        <v>0</v>
      </c>
      <c r="N13" s="88">
        <v>0</v>
      </c>
      <c r="O13" s="88">
        <v>0</v>
      </c>
    </row>
    <row r="14" spans="1:15" x14ac:dyDescent="0.25">
      <c r="A14" t="s">
        <v>73</v>
      </c>
      <c r="B14" s="85">
        <v>45670</v>
      </c>
      <c r="C14" s="86">
        <f t="shared" si="0"/>
        <v>1</v>
      </c>
      <c r="D14" s="5">
        <v>856991</v>
      </c>
      <c r="E14" s="5">
        <f t="shared" si="1"/>
        <v>504</v>
      </c>
      <c r="F14" s="5">
        <v>34916</v>
      </c>
      <c r="G14" s="5">
        <v>11331</v>
      </c>
      <c r="H14" s="5">
        <v>28427.919999999998</v>
      </c>
      <c r="I14" s="5">
        <v>0</v>
      </c>
      <c r="J14" s="88">
        <v>0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</row>
    <row r="15" spans="1:15" x14ac:dyDescent="0.25">
      <c r="A15" t="s">
        <v>74</v>
      </c>
      <c r="B15" s="85">
        <v>45671</v>
      </c>
      <c r="C15" s="86">
        <f t="shared" si="0"/>
        <v>1</v>
      </c>
      <c r="D15" s="5">
        <v>857214</v>
      </c>
      <c r="E15" s="5">
        <f t="shared" si="1"/>
        <v>223</v>
      </c>
      <c r="F15" s="5">
        <v>17018</v>
      </c>
      <c r="G15" s="5">
        <v>9318</v>
      </c>
      <c r="H15" s="5">
        <v>0</v>
      </c>
      <c r="I15" s="5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</row>
    <row r="16" spans="1:15" x14ac:dyDescent="0.25">
      <c r="A16" t="s">
        <v>68</v>
      </c>
      <c r="B16" s="85">
        <v>45672</v>
      </c>
      <c r="C16" s="86">
        <f t="shared" si="0"/>
        <v>1</v>
      </c>
      <c r="D16" s="5">
        <v>857323</v>
      </c>
      <c r="E16" s="5">
        <f t="shared" si="1"/>
        <v>109</v>
      </c>
      <c r="F16" s="5">
        <v>14651</v>
      </c>
      <c r="G16" s="5">
        <v>6137</v>
      </c>
      <c r="H16" s="5">
        <v>0</v>
      </c>
      <c r="I16" s="5">
        <v>0</v>
      </c>
      <c r="J16" s="88">
        <v>0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</row>
    <row r="17" spans="1:15" x14ac:dyDescent="0.25">
      <c r="A17" t="s">
        <v>69</v>
      </c>
      <c r="B17" s="85">
        <v>45673</v>
      </c>
      <c r="C17" s="86">
        <f t="shared" si="0"/>
        <v>1</v>
      </c>
      <c r="D17" s="5">
        <v>857771</v>
      </c>
      <c r="E17" s="5">
        <f t="shared" si="1"/>
        <v>448</v>
      </c>
      <c r="F17" s="5">
        <v>32976</v>
      </c>
      <c r="G17" s="5">
        <v>11119</v>
      </c>
      <c r="H17" s="5">
        <v>30210.38</v>
      </c>
      <c r="I17" s="5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</row>
    <row r="18" spans="1:15" x14ac:dyDescent="0.25">
      <c r="A18" t="s">
        <v>70</v>
      </c>
      <c r="B18" s="85">
        <v>45674</v>
      </c>
      <c r="C18" s="86">
        <f t="shared" si="0"/>
        <v>1</v>
      </c>
      <c r="D18" s="5">
        <v>857966</v>
      </c>
      <c r="E18" s="5">
        <f t="shared" si="1"/>
        <v>195</v>
      </c>
      <c r="F18" s="5">
        <v>16843</v>
      </c>
      <c r="G18" s="5">
        <v>9196</v>
      </c>
      <c r="H18" s="5">
        <v>0</v>
      </c>
      <c r="I18" s="5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</row>
    <row r="19" spans="1:15" x14ac:dyDescent="0.25">
      <c r="A19" t="s">
        <v>71</v>
      </c>
      <c r="B19" s="85">
        <v>45675</v>
      </c>
      <c r="C19" s="86">
        <f t="shared" si="0"/>
        <v>1</v>
      </c>
      <c r="D19" s="5">
        <v>857966</v>
      </c>
      <c r="E19" s="5">
        <f t="shared" si="1"/>
        <v>0</v>
      </c>
      <c r="F19" s="5">
        <v>5824</v>
      </c>
      <c r="G19" s="5">
        <v>4491</v>
      </c>
      <c r="H19" s="5">
        <v>0</v>
      </c>
      <c r="I19" s="5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</row>
    <row r="20" spans="1:15" x14ac:dyDescent="0.25">
      <c r="A20" t="s">
        <v>72</v>
      </c>
      <c r="B20" s="85">
        <v>45676</v>
      </c>
      <c r="C20" s="86">
        <f t="shared" si="0"/>
        <v>1</v>
      </c>
      <c r="D20" s="5">
        <v>858000</v>
      </c>
      <c r="E20" s="5">
        <f t="shared" si="1"/>
        <v>34</v>
      </c>
      <c r="F20" s="5">
        <v>4366</v>
      </c>
      <c r="G20" s="5">
        <v>4151</v>
      </c>
      <c r="H20" s="5">
        <v>0</v>
      </c>
      <c r="I20" s="5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</row>
    <row r="21" spans="1:15" x14ac:dyDescent="0.25">
      <c r="A21" t="s">
        <v>73</v>
      </c>
      <c r="B21" s="85">
        <v>45677</v>
      </c>
      <c r="C21" s="86">
        <f t="shared" si="0"/>
        <v>1</v>
      </c>
      <c r="D21" s="5">
        <v>858331</v>
      </c>
      <c r="E21" s="5">
        <f t="shared" si="1"/>
        <v>331</v>
      </c>
      <c r="F21" s="5">
        <v>25498</v>
      </c>
      <c r="G21" s="5">
        <v>7690</v>
      </c>
      <c r="H21" s="5">
        <v>4858.46</v>
      </c>
      <c r="I21" s="5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</row>
    <row r="22" spans="1:15" x14ac:dyDescent="0.25">
      <c r="A22" t="s">
        <v>74</v>
      </c>
      <c r="B22" s="85">
        <v>45678</v>
      </c>
      <c r="C22" s="86">
        <f t="shared" si="0"/>
        <v>1</v>
      </c>
      <c r="D22" s="5">
        <v>858760</v>
      </c>
      <c r="E22" s="5">
        <f t="shared" si="1"/>
        <v>429</v>
      </c>
      <c r="F22" s="5">
        <v>31358</v>
      </c>
      <c r="G22" s="5">
        <v>11936</v>
      </c>
      <c r="H22" s="5">
        <v>31443.340000000004</v>
      </c>
      <c r="I22" s="5">
        <v>0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</row>
    <row r="23" spans="1:15" x14ac:dyDescent="0.25">
      <c r="A23" t="s">
        <v>68</v>
      </c>
      <c r="B23" s="85">
        <v>45679</v>
      </c>
      <c r="C23" s="86">
        <f t="shared" si="0"/>
        <v>1</v>
      </c>
      <c r="D23" s="5">
        <v>858886</v>
      </c>
      <c r="E23" s="5">
        <f t="shared" si="1"/>
        <v>126</v>
      </c>
      <c r="F23" s="5">
        <v>14874</v>
      </c>
      <c r="G23" s="5">
        <v>9172</v>
      </c>
      <c r="H23" s="5">
        <v>0</v>
      </c>
      <c r="I23" s="5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</row>
    <row r="24" spans="1:15" x14ac:dyDescent="0.25">
      <c r="A24" t="s">
        <v>69</v>
      </c>
      <c r="B24" s="85">
        <v>45680</v>
      </c>
      <c r="C24" s="86">
        <f t="shared" si="0"/>
        <v>1</v>
      </c>
      <c r="D24" s="5">
        <v>859293</v>
      </c>
      <c r="E24" s="5">
        <f t="shared" si="1"/>
        <v>407</v>
      </c>
      <c r="F24" s="5">
        <v>30932</v>
      </c>
      <c r="G24" s="5">
        <v>11984</v>
      </c>
      <c r="H24" s="5">
        <v>32310.53</v>
      </c>
      <c r="I24" s="5">
        <v>0</v>
      </c>
      <c r="J24" s="88">
        <v>0</v>
      </c>
      <c r="K24" s="88">
        <v>0</v>
      </c>
      <c r="L24" s="88">
        <v>0</v>
      </c>
      <c r="M24" s="88">
        <v>0</v>
      </c>
      <c r="N24" s="88">
        <v>0</v>
      </c>
      <c r="O24" s="88">
        <v>0</v>
      </c>
    </row>
    <row r="25" spans="1:15" x14ac:dyDescent="0.25">
      <c r="A25" t="s">
        <v>70</v>
      </c>
      <c r="B25" s="85">
        <v>45681</v>
      </c>
      <c r="C25" s="86">
        <f t="shared" si="0"/>
        <v>1</v>
      </c>
      <c r="D25" s="5">
        <v>859553</v>
      </c>
      <c r="E25" s="5">
        <f t="shared" si="1"/>
        <v>260</v>
      </c>
      <c r="F25" s="5">
        <v>17905</v>
      </c>
      <c r="G25" s="5">
        <v>10592</v>
      </c>
      <c r="H25" s="5">
        <v>0</v>
      </c>
      <c r="I25" s="5">
        <v>5486.2599999999993</v>
      </c>
      <c r="J25" s="88">
        <v>900</v>
      </c>
      <c r="K25" s="88">
        <v>0</v>
      </c>
      <c r="L25" s="88">
        <v>30660</v>
      </c>
      <c r="M25" s="88">
        <v>10</v>
      </c>
      <c r="N25" s="88">
        <f>+L25/M25</f>
        <v>3066</v>
      </c>
      <c r="O25" s="89">
        <f>L25/(I25-J25-K25)</f>
        <v>6.6851857504807848</v>
      </c>
    </row>
    <row r="26" spans="1:15" x14ac:dyDescent="0.25">
      <c r="A26" t="s">
        <v>71</v>
      </c>
      <c r="B26" s="85">
        <v>45682</v>
      </c>
      <c r="C26" s="86">
        <f t="shared" si="0"/>
        <v>1</v>
      </c>
      <c r="D26" s="5">
        <v>859553</v>
      </c>
      <c r="E26" s="5">
        <f t="shared" si="1"/>
        <v>0</v>
      </c>
      <c r="F26" s="5">
        <v>6298</v>
      </c>
      <c r="G26" s="5">
        <v>4983</v>
      </c>
      <c r="H26" s="5">
        <v>0</v>
      </c>
      <c r="I26" s="5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</row>
    <row r="27" spans="1:15" x14ac:dyDescent="0.25">
      <c r="A27" t="s">
        <v>72</v>
      </c>
      <c r="B27" s="85">
        <v>45683</v>
      </c>
      <c r="C27" s="86">
        <f t="shared" si="0"/>
        <v>1</v>
      </c>
      <c r="D27" s="5">
        <v>859548</v>
      </c>
      <c r="E27" s="5">
        <f t="shared" si="1"/>
        <v>-5</v>
      </c>
      <c r="F27" s="5">
        <v>4648</v>
      </c>
      <c r="G27" s="5">
        <v>4501</v>
      </c>
      <c r="H27" s="5">
        <v>0</v>
      </c>
      <c r="I27" s="5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</row>
    <row r="28" spans="1:15" x14ac:dyDescent="0.25">
      <c r="A28" t="s">
        <v>73</v>
      </c>
      <c r="B28" s="85">
        <v>45684</v>
      </c>
      <c r="C28" s="86">
        <f t="shared" si="0"/>
        <v>1</v>
      </c>
      <c r="D28" s="5">
        <v>860047</v>
      </c>
      <c r="E28" s="5">
        <f t="shared" si="1"/>
        <v>499</v>
      </c>
      <c r="F28" s="5">
        <v>33779</v>
      </c>
      <c r="G28" s="5">
        <v>11404</v>
      </c>
      <c r="H28" s="5">
        <v>22754.6</v>
      </c>
      <c r="I28" s="5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</row>
    <row r="29" spans="1:15" x14ac:dyDescent="0.25">
      <c r="A29" t="s">
        <v>74</v>
      </c>
      <c r="B29" s="85">
        <v>45685</v>
      </c>
      <c r="C29" s="86">
        <f t="shared" si="0"/>
        <v>1</v>
      </c>
      <c r="D29" s="5">
        <v>860332</v>
      </c>
      <c r="E29" s="5">
        <f t="shared" si="1"/>
        <v>285</v>
      </c>
      <c r="F29" s="5">
        <v>23681</v>
      </c>
      <c r="G29" s="5">
        <v>10995</v>
      </c>
      <c r="H29" s="5">
        <v>6445.08</v>
      </c>
      <c r="I29" s="5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</row>
    <row r="30" spans="1:15" x14ac:dyDescent="0.25">
      <c r="A30" t="s">
        <v>68</v>
      </c>
      <c r="B30" s="85">
        <v>45686</v>
      </c>
      <c r="C30" s="86">
        <f t="shared" si="0"/>
        <v>1</v>
      </c>
      <c r="D30" s="5">
        <v>860508</v>
      </c>
      <c r="E30" s="5">
        <f t="shared" si="1"/>
        <v>176</v>
      </c>
      <c r="F30" s="5">
        <v>18117</v>
      </c>
      <c r="G30" s="5">
        <v>7208</v>
      </c>
      <c r="H30" s="5">
        <v>0</v>
      </c>
      <c r="I30" s="5">
        <v>5357.1900000000005</v>
      </c>
      <c r="J30" s="88">
        <v>950</v>
      </c>
      <c r="K30" s="88">
        <v>0</v>
      </c>
      <c r="L30" s="88">
        <v>31470</v>
      </c>
      <c r="M30" s="88">
        <v>10</v>
      </c>
      <c r="N30" s="88">
        <f>+L30/M30</f>
        <v>3147</v>
      </c>
      <c r="O30" s="89">
        <f>L30/(I30-J30-K30)</f>
        <v>7.1406043306505955</v>
      </c>
    </row>
    <row r="31" spans="1:15" x14ac:dyDescent="0.25">
      <c r="A31" t="s">
        <v>69</v>
      </c>
      <c r="B31" s="85">
        <v>45687</v>
      </c>
      <c r="C31" s="86">
        <f t="shared" si="0"/>
        <v>1</v>
      </c>
      <c r="D31" s="5">
        <v>860910</v>
      </c>
      <c r="E31" s="5">
        <f t="shared" si="1"/>
        <v>402</v>
      </c>
      <c r="F31" s="5">
        <v>29116</v>
      </c>
      <c r="G31" s="5">
        <v>10763</v>
      </c>
      <c r="H31" s="5">
        <v>24555.599999999999</v>
      </c>
      <c r="I31" s="5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</row>
    <row r="32" spans="1:15" x14ac:dyDescent="0.25">
      <c r="A32" t="s">
        <v>70</v>
      </c>
      <c r="B32" s="85">
        <v>45688</v>
      </c>
      <c r="C32" s="86">
        <f t="shared" si="0"/>
        <v>1</v>
      </c>
      <c r="D32" s="90">
        <v>861093</v>
      </c>
      <c r="E32" s="5">
        <f t="shared" si="1"/>
        <v>183</v>
      </c>
      <c r="F32" s="5">
        <v>15929</v>
      </c>
      <c r="G32" s="5">
        <v>9198</v>
      </c>
      <c r="H32" s="5">
        <v>0</v>
      </c>
      <c r="I32" s="5">
        <v>0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</row>
    <row r="33" spans="1:15" x14ac:dyDescent="0.25">
      <c r="A33" t="s">
        <v>71</v>
      </c>
      <c r="B33" s="85">
        <v>45689</v>
      </c>
      <c r="C33" s="86">
        <f t="shared" si="0"/>
        <v>2</v>
      </c>
      <c r="D33" s="87">
        <v>861093</v>
      </c>
      <c r="E33" s="5">
        <f t="shared" si="1"/>
        <v>0</v>
      </c>
      <c r="F33" s="5">
        <v>6227</v>
      </c>
      <c r="G33" s="5">
        <v>4690</v>
      </c>
      <c r="H33" s="5">
        <v>0</v>
      </c>
      <c r="I33" s="5">
        <v>0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</row>
    <row r="34" spans="1:15" x14ac:dyDescent="0.25">
      <c r="A34" t="s">
        <v>72</v>
      </c>
      <c r="B34" s="85">
        <v>45690</v>
      </c>
      <c r="C34" s="86">
        <f t="shared" si="0"/>
        <v>2</v>
      </c>
      <c r="D34" s="5">
        <v>861138</v>
      </c>
      <c r="E34" s="5">
        <f t="shared" si="1"/>
        <v>45</v>
      </c>
      <c r="F34" s="5">
        <v>4151</v>
      </c>
      <c r="G34" s="5">
        <v>4251</v>
      </c>
      <c r="H34" s="5">
        <v>0</v>
      </c>
      <c r="I34" s="5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</row>
    <row r="35" spans="1:15" x14ac:dyDescent="0.25">
      <c r="A35" t="s">
        <v>73</v>
      </c>
      <c r="B35" s="85">
        <v>45691</v>
      </c>
      <c r="C35" s="86">
        <f t="shared" si="0"/>
        <v>2</v>
      </c>
      <c r="D35" s="5">
        <v>861576</v>
      </c>
      <c r="E35" s="5">
        <f t="shared" si="1"/>
        <v>438</v>
      </c>
      <c r="F35" s="5">
        <v>33562</v>
      </c>
      <c r="G35" s="5">
        <v>11397</v>
      </c>
      <c r="H35" s="5">
        <v>30123.31</v>
      </c>
      <c r="I35" s="5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</row>
    <row r="36" spans="1:15" x14ac:dyDescent="0.25">
      <c r="A36" t="s">
        <v>74</v>
      </c>
      <c r="B36" s="85">
        <v>45692</v>
      </c>
      <c r="C36" s="86">
        <f t="shared" si="0"/>
        <v>2</v>
      </c>
      <c r="D36" s="5">
        <v>861746</v>
      </c>
      <c r="E36" s="5">
        <f t="shared" si="1"/>
        <v>170</v>
      </c>
      <c r="F36" s="5">
        <v>14907</v>
      </c>
      <c r="G36" s="5">
        <v>9543</v>
      </c>
      <c r="H36" s="5">
        <v>0</v>
      </c>
      <c r="I36" s="5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</row>
    <row r="37" spans="1:15" x14ac:dyDescent="0.25">
      <c r="A37" t="s">
        <v>68</v>
      </c>
      <c r="B37" s="85">
        <v>45693</v>
      </c>
      <c r="C37" s="86">
        <f t="shared" si="0"/>
        <v>2</v>
      </c>
      <c r="D37" s="5">
        <v>861900</v>
      </c>
      <c r="E37" s="5">
        <f t="shared" si="1"/>
        <v>154</v>
      </c>
      <c r="F37" s="5">
        <v>14930</v>
      </c>
      <c r="G37" s="5">
        <v>6560</v>
      </c>
      <c r="H37" s="5">
        <v>0</v>
      </c>
      <c r="I37" s="5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</row>
    <row r="38" spans="1:15" x14ac:dyDescent="0.25">
      <c r="A38" t="s">
        <v>69</v>
      </c>
      <c r="B38" s="85">
        <v>45694</v>
      </c>
      <c r="C38" s="86">
        <f t="shared" si="0"/>
        <v>2</v>
      </c>
      <c r="D38" s="5">
        <v>862358</v>
      </c>
      <c r="E38" s="5">
        <f t="shared" si="1"/>
        <v>458</v>
      </c>
      <c r="F38" s="5">
        <v>32804</v>
      </c>
      <c r="G38" s="5">
        <v>12294</v>
      </c>
      <c r="H38" s="5">
        <v>33189.440000000002</v>
      </c>
      <c r="I38" s="5">
        <v>0</v>
      </c>
      <c r="J38" s="88">
        <v>0</v>
      </c>
      <c r="K38" s="88">
        <v>0</v>
      </c>
      <c r="L38" s="88">
        <v>0</v>
      </c>
      <c r="M38" s="88">
        <v>0</v>
      </c>
      <c r="N38" s="88">
        <v>0</v>
      </c>
      <c r="O38" s="88">
        <v>0</v>
      </c>
    </row>
    <row r="39" spans="1:15" x14ac:dyDescent="0.25">
      <c r="A39" t="s">
        <v>70</v>
      </c>
      <c r="B39" s="85">
        <v>45695</v>
      </c>
      <c r="C39" s="86">
        <f t="shared" si="0"/>
        <v>2</v>
      </c>
      <c r="D39" s="5">
        <v>862572</v>
      </c>
      <c r="E39" s="5">
        <f t="shared" si="1"/>
        <v>214</v>
      </c>
      <c r="F39" s="5">
        <v>18039</v>
      </c>
      <c r="G39" s="5">
        <v>10188</v>
      </c>
      <c r="H39" s="5">
        <v>0</v>
      </c>
      <c r="I39" s="5">
        <v>5267.1699999999992</v>
      </c>
      <c r="J39" s="88">
        <v>900</v>
      </c>
      <c r="K39" s="88">
        <v>0</v>
      </c>
      <c r="L39" s="88">
        <v>31220</v>
      </c>
      <c r="M39" s="88">
        <v>10</v>
      </c>
      <c r="N39" s="88">
        <f>+L39/M39</f>
        <v>3122</v>
      </c>
      <c r="O39" s="89">
        <f>L39/(I39-J39-K39)</f>
        <v>7.1487942992830611</v>
      </c>
    </row>
    <row r="40" spans="1:15" x14ac:dyDescent="0.25">
      <c r="A40" t="s">
        <v>71</v>
      </c>
      <c r="B40" s="85">
        <v>45696</v>
      </c>
      <c r="C40" s="86">
        <f t="shared" si="0"/>
        <v>2</v>
      </c>
      <c r="D40" s="5">
        <v>862572</v>
      </c>
      <c r="E40" s="5">
        <f t="shared" si="1"/>
        <v>0</v>
      </c>
      <c r="F40" s="5">
        <v>6169</v>
      </c>
      <c r="G40" s="5">
        <v>4772</v>
      </c>
      <c r="H40" s="5">
        <v>0</v>
      </c>
      <c r="I40" s="5">
        <v>0</v>
      </c>
      <c r="J40" s="88">
        <v>0</v>
      </c>
      <c r="K40" s="88">
        <v>0</v>
      </c>
      <c r="L40" s="88">
        <v>0</v>
      </c>
      <c r="M40" s="88">
        <v>0</v>
      </c>
      <c r="N40" s="88">
        <v>0</v>
      </c>
      <c r="O40" s="88">
        <v>0</v>
      </c>
    </row>
    <row r="41" spans="1:15" x14ac:dyDescent="0.25">
      <c r="A41" t="s">
        <v>72</v>
      </c>
      <c r="B41" s="85">
        <v>45697</v>
      </c>
      <c r="C41" s="86">
        <f t="shared" si="0"/>
        <v>2</v>
      </c>
      <c r="D41" s="5">
        <v>862590</v>
      </c>
      <c r="E41" s="5">
        <f t="shared" si="1"/>
        <v>18</v>
      </c>
      <c r="F41" s="5">
        <v>3056</v>
      </c>
      <c r="G41" s="5">
        <v>4319</v>
      </c>
      <c r="H41" s="5">
        <v>0</v>
      </c>
      <c r="I41" s="5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</row>
    <row r="42" spans="1:15" x14ac:dyDescent="0.25">
      <c r="A42" t="s">
        <v>73</v>
      </c>
      <c r="B42" s="85">
        <v>45698</v>
      </c>
      <c r="C42" s="86">
        <f t="shared" si="0"/>
        <v>2</v>
      </c>
      <c r="D42" s="5">
        <v>863130</v>
      </c>
      <c r="E42" s="5">
        <f t="shared" si="1"/>
        <v>540</v>
      </c>
      <c r="F42" s="5">
        <v>37113</v>
      </c>
      <c r="G42" s="5">
        <v>12067</v>
      </c>
      <c r="H42" s="5">
        <v>31836.87</v>
      </c>
      <c r="I42" s="5">
        <v>0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</row>
    <row r="43" spans="1:15" x14ac:dyDescent="0.25">
      <c r="A43" t="s">
        <v>74</v>
      </c>
      <c r="B43" s="85">
        <v>45699</v>
      </c>
      <c r="C43" s="86">
        <f t="shared" si="0"/>
        <v>2</v>
      </c>
      <c r="D43" s="5">
        <v>863317</v>
      </c>
      <c r="E43" s="5">
        <f t="shared" si="1"/>
        <v>187</v>
      </c>
      <c r="F43" s="5">
        <v>16383</v>
      </c>
      <c r="G43" s="5">
        <v>9863</v>
      </c>
      <c r="H43" s="5">
        <v>0</v>
      </c>
      <c r="I43" s="5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</row>
    <row r="44" spans="1:15" x14ac:dyDescent="0.25">
      <c r="A44" t="s">
        <v>68</v>
      </c>
      <c r="B44" s="85">
        <v>45700</v>
      </c>
      <c r="C44" s="86">
        <f t="shared" si="0"/>
        <v>2</v>
      </c>
      <c r="D44" s="5">
        <v>863778</v>
      </c>
      <c r="E44" s="5">
        <f t="shared" si="1"/>
        <v>461</v>
      </c>
      <c r="F44" s="5">
        <v>31271</v>
      </c>
      <c r="G44" s="5">
        <v>11687</v>
      </c>
      <c r="H44" s="5">
        <v>28129.55</v>
      </c>
      <c r="I44" s="5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</row>
    <row r="45" spans="1:15" x14ac:dyDescent="0.25">
      <c r="A45" t="s">
        <v>69</v>
      </c>
      <c r="B45" s="85">
        <v>45701</v>
      </c>
      <c r="C45" s="86">
        <f t="shared" si="0"/>
        <v>2</v>
      </c>
      <c r="D45" s="5">
        <v>864137</v>
      </c>
      <c r="E45" s="5">
        <f t="shared" si="1"/>
        <v>359</v>
      </c>
      <c r="F45" s="5">
        <v>25234</v>
      </c>
      <c r="G45" s="5">
        <v>12913</v>
      </c>
      <c r="H45" s="5">
        <v>20243.91</v>
      </c>
      <c r="I45" s="5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</row>
    <row r="46" spans="1:15" x14ac:dyDescent="0.25">
      <c r="A46" t="s">
        <v>70</v>
      </c>
      <c r="B46" s="85">
        <v>45702</v>
      </c>
      <c r="C46" s="86">
        <f t="shared" si="0"/>
        <v>2</v>
      </c>
      <c r="D46" s="5">
        <v>864295</v>
      </c>
      <c r="E46" s="5">
        <f t="shared" si="1"/>
        <v>158</v>
      </c>
      <c r="F46" s="5">
        <v>14079</v>
      </c>
      <c r="G46" s="5">
        <v>8827</v>
      </c>
      <c r="H46" s="5">
        <v>0</v>
      </c>
      <c r="I46" s="5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</row>
    <row r="47" spans="1:15" x14ac:dyDescent="0.25">
      <c r="A47" t="s">
        <v>71</v>
      </c>
      <c r="B47" s="85">
        <v>45703</v>
      </c>
      <c r="C47" s="86">
        <f t="shared" si="0"/>
        <v>2</v>
      </c>
      <c r="D47" s="5">
        <v>864295</v>
      </c>
      <c r="E47" s="5">
        <f t="shared" si="1"/>
        <v>0</v>
      </c>
      <c r="F47" s="5">
        <v>4685</v>
      </c>
      <c r="G47" s="5">
        <v>5065</v>
      </c>
      <c r="H47" s="5">
        <v>0</v>
      </c>
      <c r="I47" s="5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</row>
    <row r="48" spans="1:15" x14ac:dyDescent="0.25">
      <c r="A48" t="s">
        <v>72</v>
      </c>
      <c r="B48" s="85">
        <v>45704</v>
      </c>
      <c r="C48" s="86">
        <f t="shared" si="0"/>
        <v>2</v>
      </c>
      <c r="D48" s="5">
        <v>864329</v>
      </c>
      <c r="E48" s="5">
        <f t="shared" si="1"/>
        <v>34</v>
      </c>
      <c r="F48" s="5">
        <v>3285</v>
      </c>
      <c r="G48" s="5">
        <v>4823</v>
      </c>
      <c r="H48" s="5">
        <v>0</v>
      </c>
      <c r="I48" s="5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</row>
    <row r="49" spans="1:15" x14ac:dyDescent="0.25">
      <c r="A49" t="s">
        <v>73</v>
      </c>
      <c r="B49" s="85">
        <v>45705</v>
      </c>
      <c r="C49" s="86">
        <f t="shared" si="0"/>
        <v>2</v>
      </c>
      <c r="D49" s="5">
        <v>864462</v>
      </c>
      <c r="E49" s="5">
        <f t="shared" si="1"/>
        <v>133</v>
      </c>
      <c r="F49" s="5">
        <v>17303</v>
      </c>
      <c r="G49" s="5">
        <v>6186</v>
      </c>
      <c r="H49" s="5">
        <v>0</v>
      </c>
      <c r="I49" s="5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</row>
    <row r="50" spans="1:15" x14ac:dyDescent="0.25">
      <c r="A50" t="s">
        <v>74</v>
      </c>
      <c r="B50" s="85">
        <v>45706</v>
      </c>
      <c r="C50" s="86">
        <f t="shared" si="0"/>
        <v>2</v>
      </c>
      <c r="D50" s="5">
        <v>864908</v>
      </c>
      <c r="E50" s="5">
        <f t="shared" si="1"/>
        <v>446</v>
      </c>
      <c r="F50" s="5">
        <v>30373</v>
      </c>
      <c r="G50" s="5">
        <v>12570</v>
      </c>
      <c r="H50" s="5">
        <v>27820.799999999999</v>
      </c>
      <c r="I50" s="5">
        <v>0</v>
      </c>
      <c r="J50" s="88">
        <v>0</v>
      </c>
      <c r="K50" s="88">
        <v>0</v>
      </c>
      <c r="L50" s="88">
        <v>0</v>
      </c>
      <c r="M50" s="88">
        <v>0</v>
      </c>
      <c r="N50" s="88">
        <v>0</v>
      </c>
      <c r="O50" s="88">
        <v>0</v>
      </c>
    </row>
    <row r="51" spans="1:15" x14ac:dyDescent="0.25">
      <c r="A51" t="s">
        <v>68</v>
      </c>
      <c r="B51" s="85">
        <v>45707</v>
      </c>
      <c r="C51" s="86">
        <f t="shared" si="0"/>
        <v>2</v>
      </c>
      <c r="D51" s="5">
        <v>865219</v>
      </c>
      <c r="E51" s="5">
        <f t="shared" si="1"/>
        <v>311</v>
      </c>
      <c r="F51" s="5">
        <v>22770</v>
      </c>
      <c r="G51" s="5">
        <v>12467</v>
      </c>
      <c r="H51" s="5">
        <v>16145.7</v>
      </c>
      <c r="I51" s="5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</row>
    <row r="52" spans="1:15" x14ac:dyDescent="0.25">
      <c r="A52" t="s">
        <v>69</v>
      </c>
      <c r="B52" s="85">
        <v>45708</v>
      </c>
      <c r="C52" s="86">
        <f t="shared" si="0"/>
        <v>2</v>
      </c>
      <c r="D52" s="5">
        <v>865692</v>
      </c>
      <c r="E52" s="5">
        <f t="shared" si="1"/>
        <v>473</v>
      </c>
      <c r="F52" s="5">
        <v>30289</v>
      </c>
      <c r="G52" s="5">
        <v>12838</v>
      </c>
      <c r="H52" s="5">
        <v>29170.94</v>
      </c>
      <c r="I52" s="5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</row>
    <row r="53" spans="1:15" x14ac:dyDescent="0.25">
      <c r="A53" t="s">
        <v>70</v>
      </c>
      <c r="B53" s="85">
        <v>45709</v>
      </c>
      <c r="C53" s="86">
        <f t="shared" si="0"/>
        <v>2</v>
      </c>
      <c r="D53" s="5">
        <v>865855</v>
      </c>
      <c r="E53" s="5">
        <f t="shared" si="1"/>
        <v>163</v>
      </c>
      <c r="F53" s="5">
        <v>17166</v>
      </c>
      <c r="G53" s="5">
        <v>10268</v>
      </c>
      <c r="H53" s="5">
        <v>0</v>
      </c>
      <c r="I53" s="5">
        <v>7638.8400000000011</v>
      </c>
      <c r="J53" s="88">
        <v>1305</v>
      </c>
      <c r="K53" s="88">
        <v>0</v>
      </c>
      <c r="L53" s="88">
        <v>43640</v>
      </c>
      <c r="M53" s="88">
        <v>14</v>
      </c>
      <c r="N53" s="88">
        <f>+L53/M53</f>
        <v>3117.1428571428573</v>
      </c>
      <c r="O53" s="89">
        <f>L53/(I53-J53-K53)</f>
        <v>6.8899751177800503</v>
      </c>
    </row>
    <row r="54" spans="1:15" x14ac:dyDescent="0.25">
      <c r="A54" t="s">
        <v>71</v>
      </c>
      <c r="B54" s="85">
        <v>45710</v>
      </c>
      <c r="C54" s="86">
        <f t="shared" si="0"/>
        <v>2</v>
      </c>
      <c r="D54" s="5">
        <v>865855</v>
      </c>
      <c r="E54" s="5">
        <f t="shared" si="1"/>
        <v>0</v>
      </c>
      <c r="F54" s="5">
        <v>5622</v>
      </c>
      <c r="G54" s="5">
        <v>5126</v>
      </c>
      <c r="H54" s="5">
        <v>0</v>
      </c>
      <c r="I54" s="5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</row>
    <row r="55" spans="1:15" x14ac:dyDescent="0.25">
      <c r="A55" t="s">
        <v>72</v>
      </c>
      <c r="B55" s="85">
        <v>45711</v>
      </c>
      <c r="C55" s="86">
        <f t="shared" si="0"/>
        <v>2</v>
      </c>
      <c r="D55" s="5">
        <v>865917</v>
      </c>
      <c r="E55" s="5">
        <f t="shared" si="1"/>
        <v>62</v>
      </c>
      <c r="F55" s="5">
        <v>4055</v>
      </c>
      <c r="G55" s="5">
        <v>4614</v>
      </c>
      <c r="H55" s="5">
        <v>0</v>
      </c>
      <c r="I55" s="5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</row>
    <row r="56" spans="1:15" x14ac:dyDescent="0.25">
      <c r="A56" t="s">
        <v>73</v>
      </c>
      <c r="B56" s="85">
        <v>45712</v>
      </c>
      <c r="C56" s="86">
        <f t="shared" si="0"/>
        <v>2</v>
      </c>
      <c r="D56" s="5">
        <v>866455</v>
      </c>
      <c r="E56" s="5">
        <f t="shared" si="1"/>
        <v>538</v>
      </c>
      <c r="F56" s="5">
        <v>36304</v>
      </c>
      <c r="G56" s="5">
        <v>12376</v>
      </c>
      <c r="H56" s="5">
        <v>28728.78</v>
      </c>
      <c r="I56" s="5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</row>
    <row r="57" spans="1:15" x14ac:dyDescent="0.25">
      <c r="A57" t="s">
        <v>74</v>
      </c>
      <c r="B57" s="85">
        <v>45713</v>
      </c>
      <c r="C57" s="86">
        <f t="shared" si="0"/>
        <v>2</v>
      </c>
      <c r="D57" s="5">
        <v>866645</v>
      </c>
      <c r="E57" s="5">
        <f t="shared" si="1"/>
        <v>190</v>
      </c>
      <c r="F57" s="5">
        <v>16700</v>
      </c>
      <c r="G57" s="5">
        <v>9756</v>
      </c>
      <c r="H57" s="5">
        <v>0</v>
      </c>
      <c r="I57" s="5">
        <v>3725.6499999999996</v>
      </c>
      <c r="J57" s="88">
        <v>679</v>
      </c>
      <c r="K57" s="88">
        <v>0</v>
      </c>
      <c r="L57" s="88">
        <v>22125</v>
      </c>
      <c r="M57" s="88">
        <v>7</v>
      </c>
      <c r="N57" s="88">
        <f>+L57/M57</f>
        <v>3160.7142857142858</v>
      </c>
      <c r="O57" s="89">
        <f>L57/(I57-J57-K57)</f>
        <v>7.2620747378267945</v>
      </c>
    </row>
    <row r="58" spans="1:15" x14ac:dyDescent="0.25">
      <c r="A58" t="s">
        <v>68</v>
      </c>
      <c r="B58" s="85">
        <v>45714</v>
      </c>
      <c r="C58" s="86">
        <f t="shared" si="0"/>
        <v>2</v>
      </c>
      <c r="D58" s="5">
        <v>866925</v>
      </c>
      <c r="E58" s="5">
        <f t="shared" si="1"/>
        <v>280</v>
      </c>
      <c r="F58" s="5">
        <v>22955</v>
      </c>
      <c r="G58" s="5">
        <v>9237</v>
      </c>
      <c r="H58" s="5">
        <v>16835.189999999999</v>
      </c>
      <c r="I58" s="5">
        <v>0</v>
      </c>
      <c r="J58" s="88">
        <v>0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</row>
    <row r="59" spans="1:15" x14ac:dyDescent="0.25">
      <c r="A59" t="s">
        <v>69</v>
      </c>
      <c r="B59" s="85">
        <v>45715</v>
      </c>
      <c r="C59" s="86">
        <f t="shared" si="0"/>
        <v>2</v>
      </c>
      <c r="D59" s="5">
        <v>867389</v>
      </c>
      <c r="E59" s="5">
        <f t="shared" si="1"/>
        <v>464</v>
      </c>
      <c r="F59" s="5">
        <v>29826</v>
      </c>
      <c r="G59" s="5">
        <v>14872</v>
      </c>
      <c r="H59" s="5">
        <v>33223.69</v>
      </c>
      <c r="I59" s="5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</row>
    <row r="60" spans="1:15" x14ac:dyDescent="0.25">
      <c r="A60" t="s">
        <v>70</v>
      </c>
      <c r="B60" s="85">
        <v>45716</v>
      </c>
      <c r="C60" s="86">
        <f t="shared" si="0"/>
        <v>2</v>
      </c>
      <c r="D60" s="90">
        <v>867514</v>
      </c>
      <c r="E60" s="5">
        <f t="shared" si="1"/>
        <v>125</v>
      </c>
      <c r="F60" s="5">
        <v>14478</v>
      </c>
      <c r="G60" s="5">
        <v>7270</v>
      </c>
      <c r="H60" s="5">
        <v>0</v>
      </c>
      <c r="I60" s="5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</row>
    <row r="61" spans="1:15" x14ac:dyDescent="0.25">
      <c r="A61" t="s">
        <v>71</v>
      </c>
      <c r="B61" s="85">
        <v>45717</v>
      </c>
      <c r="C61" s="86">
        <f t="shared" si="0"/>
        <v>3</v>
      </c>
      <c r="D61" s="87">
        <v>867514</v>
      </c>
      <c r="E61" s="5">
        <f t="shared" si="1"/>
        <v>0</v>
      </c>
      <c r="F61" s="5">
        <v>6311</v>
      </c>
      <c r="G61" s="5">
        <v>4591</v>
      </c>
      <c r="H61" s="5">
        <v>0</v>
      </c>
      <c r="I61" s="5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</row>
    <row r="62" spans="1:15" x14ac:dyDescent="0.25">
      <c r="A62" t="s">
        <v>72</v>
      </c>
      <c r="B62" s="85">
        <v>45718</v>
      </c>
      <c r="C62" s="86">
        <f t="shared" si="0"/>
        <v>3</v>
      </c>
      <c r="D62" s="5">
        <v>867573</v>
      </c>
      <c r="E62" s="5">
        <f t="shared" si="1"/>
        <v>59</v>
      </c>
      <c r="F62" s="5">
        <v>5063</v>
      </c>
      <c r="G62" s="5">
        <v>4122</v>
      </c>
      <c r="H62" s="5">
        <v>0</v>
      </c>
      <c r="I62" s="5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</row>
    <row r="63" spans="1:15" x14ac:dyDescent="0.25">
      <c r="A63" t="s">
        <v>73</v>
      </c>
      <c r="B63" s="85">
        <v>45719</v>
      </c>
      <c r="C63" s="86">
        <f t="shared" si="0"/>
        <v>3</v>
      </c>
      <c r="D63" s="5">
        <v>868039</v>
      </c>
      <c r="E63" s="5">
        <f t="shared" si="1"/>
        <v>466</v>
      </c>
      <c r="F63" s="5">
        <v>35572</v>
      </c>
      <c r="G63" s="5">
        <v>12127</v>
      </c>
      <c r="H63" s="5">
        <v>31582.31</v>
      </c>
      <c r="I63" s="5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</row>
    <row r="64" spans="1:15" x14ac:dyDescent="0.25">
      <c r="A64" t="s">
        <v>74</v>
      </c>
      <c r="B64" s="85">
        <v>45720</v>
      </c>
      <c r="C64" s="86">
        <f t="shared" si="0"/>
        <v>3</v>
      </c>
      <c r="D64" s="5">
        <v>868220</v>
      </c>
      <c r="E64" s="5">
        <f t="shared" si="1"/>
        <v>181</v>
      </c>
      <c r="F64" s="5">
        <v>17808</v>
      </c>
      <c r="G64" s="5">
        <v>10746</v>
      </c>
      <c r="H64" s="5">
        <v>0</v>
      </c>
      <c r="I64" s="5">
        <v>8083.6900000000014</v>
      </c>
      <c r="J64" s="88">
        <v>1395</v>
      </c>
      <c r="K64" s="88">
        <v>0</v>
      </c>
      <c r="L64" s="88">
        <v>47908</v>
      </c>
      <c r="M64" s="88">
        <v>15</v>
      </c>
      <c r="N64" s="88">
        <f>+L64/M64</f>
        <v>3193.8666666666668</v>
      </c>
      <c r="O64" s="89">
        <f>L64/(I64-J64-K64)</f>
        <v>7.1625385538872317</v>
      </c>
    </row>
    <row r="65" spans="1:15" x14ac:dyDescent="0.25">
      <c r="A65" t="s">
        <v>68</v>
      </c>
      <c r="B65" s="85">
        <v>45721</v>
      </c>
      <c r="C65" s="86">
        <f t="shared" si="0"/>
        <v>3</v>
      </c>
      <c r="D65" s="5">
        <v>868726</v>
      </c>
      <c r="E65" s="5">
        <f t="shared" si="1"/>
        <v>506</v>
      </c>
      <c r="F65" s="5">
        <v>29971</v>
      </c>
      <c r="G65" s="5">
        <v>12359</v>
      </c>
      <c r="H65" s="5">
        <v>28812.400000000001</v>
      </c>
      <c r="I65" s="5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</row>
    <row r="66" spans="1:15" x14ac:dyDescent="0.25">
      <c r="A66" t="s">
        <v>69</v>
      </c>
      <c r="B66" s="85">
        <v>45722</v>
      </c>
      <c r="C66" s="86">
        <f t="shared" si="0"/>
        <v>3</v>
      </c>
      <c r="D66" s="5">
        <v>869198</v>
      </c>
      <c r="E66" s="5">
        <f t="shared" si="1"/>
        <v>472</v>
      </c>
      <c r="F66" s="5">
        <v>31818</v>
      </c>
      <c r="G66" s="5">
        <v>14871</v>
      </c>
      <c r="H66" s="5">
        <v>30576.199999999997</v>
      </c>
      <c r="I66" s="5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</row>
    <row r="67" spans="1:15" x14ac:dyDescent="0.25">
      <c r="A67" t="s">
        <v>70</v>
      </c>
      <c r="B67" s="85">
        <v>45723</v>
      </c>
      <c r="C67" s="86">
        <f t="shared" ref="C67:C130" si="2">MONTH(B67)</f>
        <v>3</v>
      </c>
      <c r="D67" s="5">
        <v>869368</v>
      </c>
      <c r="E67" s="5">
        <f t="shared" ref="E67:E130" si="3">+D67-D66</f>
        <v>170</v>
      </c>
      <c r="F67" s="5">
        <v>14921</v>
      </c>
      <c r="G67" s="5">
        <v>10663</v>
      </c>
      <c r="H67" s="5">
        <v>0</v>
      </c>
      <c r="I67" s="5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</row>
    <row r="68" spans="1:15" x14ac:dyDescent="0.25">
      <c r="A68" t="s">
        <v>71</v>
      </c>
      <c r="B68" s="85">
        <v>45724</v>
      </c>
      <c r="C68" s="86">
        <f t="shared" si="2"/>
        <v>3</v>
      </c>
      <c r="D68" s="5">
        <v>869368</v>
      </c>
      <c r="E68" s="5">
        <f t="shared" si="3"/>
        <v>0</v>
      </c>
      <c r="F68" s="5">
        <v>6681</v>
      </c>
      <c r="G68" s="5">
        <v>4889</v>
      </c>
      <c r="H68" s="5">
        <v>0</v>
      </c>
      <c r="I68" s="5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</row>
    <row r="69" spans="1:15" x14ac:dyDescent="0.25">
      <c r="A69" t="s">
        <v>72</v>
      </c>
      <c r="B69" s="85">
        <v>45725</v>
      </c>
      <c r="C69" s="86">
        <f t="shared" si="2"/>
        <v>3</v>
      </c>
      <c r="D69" s="5">
        <v>869445</v>
      </c>
      <c r="E69" s="5">
        <f t="shared" si="3"/>
        <v>77</v>
      </c>
      <c r="F69" s="5">
        <v>5050</v>
      </c>
      <c r="G69" s="5">
        <v>4057</v>
      </c>
      <c r="H69" s="5">
        <v>0</v>
      </c>
      <c r="I69" s="5">
        <v>0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</row>
    <row r="70" spans="1:15" x14ac:dyDescent="0.25">
      <c r="A70" t="s">
        <v>73</v>
      </c>
      <c r="B70" s="85">
        <v>45726</v>
      </c>
      <c r="C70" s="86">
        <f t="shared" si="2"/>
        <v>3</v>
      </c>
      <c r="D70" s="5">
        <v>869876</v>
      </c>
      <c r="E70" s="5">
        <f t="shared" si="3"/>
        <v>431</v>
      </c>
      <c r="F70" s="5">
        <v>35583</v>
      </c>
      <c r="G70" s="5">
        <v>11653</v>
      </c>
      <c r="H70" s="5">
        <v>32417.24</v>
      </c>
      <c r="I70" s="5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</row>
    <row r="71" spans="1:15" x14ac:dyDescent="0.25">
      <c r="A71" t="s">
        <v>74</v>
      </c>
      <c r="B71" s="85">
        <v>45727</v>
      </c>
      <c r="C71" s="86">
        <f t="shared" si="2"/>
        <v>3</v>
      </c>
      <c r="D71" s="5">
        <v>870340</v>
      </c>
      <c r="E71" s="5">
        <f t="shared" si="3"/>
        <v>464</v>
      </c>
      <c r="F71" s="5">
        <v>30801</v>
      </c>
      <c r="G71" s="5">
        <v>14611</v>
      </c>
      <c r="H71" s="5">
        <v>31068.02</v>
      </c>
      <c r="I71" s="5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</row>
    <row r="72" spans="1:15" x14ac:dyDescent="0.25">
      <c r="A72" t="s">
        <v>68</v>
      </c>
      <c r="B72" s="85">
        <v>45728</v>
      </c>
      <c r="C72" s="86">
        <f t="shared" si="2"/>
        <v>3</v>
      </c>
      <c r="D72" s="5">
        <v>870484</v>
      </c>
      <c r="E72" s="5">
        <f t="shared" si="3"/>
        <v>144</v>
      </c>
      <c r="F72" s="5">
        <v>14694</v>
      </c>
      <c r="G72" s="5">
        <v>8339</v>
      </c>
      <c r="H72" s="5">
        <v>0</v>
      </c>
      <c r="I72" s="5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</row>
    <row r="73" spans="1:15" x14ac:dyDescent="0.25">
      <c r="A73" t="s">
        <v>69</v>
      </c>
      <c r="B73" s="85">
        <v>45729</v>
      </c>
      <c r="C73" s="86">
        <f t="shared" si="2"/>
        <v>3</v>
      </c>
      <c r="D73" s="5">
        <v>870946</v>
      </c>
      <c r="E73" s="5">
        <f t="shared" si="3"/>
        <v>462</v>
      </c>
      <c r="F73" s="5">
        <v>32371</v>
      </c>
      <c r="G73" s="5">
        <v>12182</v>
      </c>
      <c r="H73" s="5">
        <v>33231.32</v>
      </c>
      <c r="I73" s="5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</row>
    <row r="74" spans="1:15" x14ac:dyDescent="0.25">
      <c r="A74" t="s">
        <v>70</v>
      </c>
      <c r="B74" s="85">
        <v>45730</v>
      </c>
      <c r="C74" s="86">
        <f t="shared" si="2"/>
        <v>3</v>
      </c>
      <c r="D74" s="5">
        <v>871071</v>
      </c>
      <c r="E74" s="5">
        <f t="shared" si="3"/>
        <v>125</v>
      </c>
      <c r="F74" s="5">
        <v>15263</v>
      </c>
      <c r="G74" s="5">
        <v>9867</v>
      </c>
      <c r="H74" s="5">
        <v>0</v>
      </c>
      <c r="I74" s="5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</row>
    <row r="75" spans="1:15" x14ac:dyDescent="0.25">
      <c r="A75" t="s">
        <v>71</v>
      </c>
      <c r="B75" s="85">
        <v>45731</v>
      </c>
      <c r="C75" s="86">
        <f t="shared" si="2"/>
        <v>3</v>
      </c>
      <c r="D75" s="5">
        <v>871071</v>
      </c>
      <c r="E75" s="5">
        <f t="shared" si="3"/>
        <v>0</v>
      </c>
      <c r="F75" s="5">
        <v>7097</v>
      </c>
      <c r="G75" s="5">
        <v>4756</v>
      </c>
      <c r="H75" s="5">
        <v>0</v>
      </c>
      <c r="I75" s="5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</row>
    <row r="76" spans="1:15" x14ac:dyDescent="0.25">
      <c r="A76" t="s">
        <v>72</v>
      </c>
      <c r="B76" s="85">
        <v>45732</v>
      </c>
      <c r="C76" s="86">
        <f t="shared" si="2"/>
        <v>3</v>
      </c>
      <c r="D76" s="5">
        <v>871141</v>
      </c>
      <c r="E76" s="5">
        <f t="shared" si="3"/>
        <v>70</v>
      </c>
      <c r="F76" s="5">
        <v>4920</v>
      </c>
      <c r="G76" s="5">
        <v>4375</v>
      </c>
      <c r="H76" s="5">
        <v>0</v>
      </c>
      <c r="I76" s="5">
        <v>0</v>
      </c>
      <c r="J76" s="88">
        <v>0</v>
      </c>
      <c r="K76" s="88">
        <v>0</v>
      </c>
      <c r="L76" s="88">
        <v>0</v>
      </c>
      <c r="M76" s="88">
        <v>0</v>
      </c>
      <c r="N76" s="88">
        <v>0</v>
      </c>
      <c r="O76" s="88">
        <v>0</v>
      </c>
    </row>
    <row r="77" spans="1:15" x14ac:dyDescent="0.25">
      <c r="A77" t="s">
        <v>73</v>
      </c>
      <c r="B77" s="85">
        <v>45733</v>
      </c>
      <c r="C77" s="86">
        <f t="shared" si="2"/>
        <v>3</v>
      </c>
      <c r="D77" s="5">
        <v>871645</v>
      </c>
      <c r="E77" s="5">
        <f t="shared" si="3"/>
        <v>504</v>
      </c>
      <c r="F77" s="5">
        <v>35724</v>
      </c>
      <c r="G77" s="5">
        <v>12084</v>
      </c>
      <c r="H77" s="5">
        <v>27359.360000000004</v>
      </c>
      <c r="I77" s="5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</row>
    <row r="78" spans="1:15" x14ac:dyDescent="0.25">
      <c r="A78" t="s">
        <v>74</v>
      </c>
      <c r="B78" s="85">
        <v>45734</v>
      </c>
      <c r="C78" s="86">
        <f t="shared" si="2"/>
        <v>3</v>
      </c>
      <c r="D78" s="5">
        <v>872053</v>
      </c>
      <c r="E78" s="5">
        <f t="shared" si="3"/>
        <v>408</v>
      </c>
      <c r="F78" s="5">
        <v>29858</v>
      </c>
      <c r="G78" s="5">
        <v>14495</v>
      </c>
      <c r="H78" s="5">
        <v>24677.64</v>
      </c>
      <c r="I78" s="5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</row>
    <row r="79" spans="1:15" x14ac:dyDescent="0.25">
      <c r="A79" t="s">
        <v>68</v>
      </c>
      <c r="B79" s="85">
        <v>45735</v>
      </c>
      <c r="C79" s="86">
        <f t="shared" si="2"/>
        <v>3</v>
      </c>
      <c r="D79" s="5">
        <v>872218</v>
      </c>
      <c r="E79" s="5">
        <f t="shared" si="3"/>
        <v>165</v>
      </c>
      <c r="F79" s="5">
        <v>14313</v>
      </c>
      <c r="G79" s="5">
        <v>8854</v>
      </c>
      <c r="H79" s="5">
        <v>0</v>
      </c>
      <c r="I79" s="5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</row>
    <row r="80" spans="1:15" x14ac:dyDescent="0.25">
      <c r="A80" t="s">
        <v>69</v>
      </c>
      <c r="B80" s="85">
        <v>45736</v>
      </c>
      <c r="C80" s="86">
        <f t="shared" si="2"/>
        <v>3</v>
      </c>
      <c r="D80" s="5">
        <v>872525</v>
      </c>
      <c r="E80" s="5">
        <f t="shared" si="3"/>
        <v>307</v>
      </c>
      <c r="F80" s="5">
        <v>31207</v>
      </c>
      <c r="G80" s="5">
        <v>13914</v>
      </c>
      <c r="H80" s="5">
        <v>30242.43</v>
      </c>
      <c r="I80" s="5">
        <v>0</v>
      </c>
      <c r="J80" s="88">
        <v>0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</row>
    <row r="81" spans="1:15" x14ac:dyDescent="0.25">
      <c r="A81" t="s">
        <v>70</v>
      </c>
      <c r="B81" s="85">
        <v>45737</v>
      </c>
      <c r="C81" s="86">
        <f t="shared" si="2"/>
        <v>3</v>
      </c>
      <c r="D81" s="5">
        <v>872906</v>
      </c>
      <c r="E81" s="5">
        <f t="shared" si="3"/>
        <v>381</v>
      </c>
      <c r="F81" s="5">
        <v>17340</v>
      </c>
      <c r="G81" s="5">
        <v>9150</v>
      </c>
      <c r="H81" s="5">
        <v>0</v>
      </c>
      <c r="I81" s="5">
        <v>5964.59</v>
      </c>
      <c r="J81" s="88">
        <v>1140</v>
      </c>
      <c r="K81" s="88">
        <v>40</v>
      </c>
      <c r="L81" s="88">
        <v>36770</v>
      </c>
      <c r="M81" s="88">
        <v>12</v>
      </c>
      <c r="N81" s="88">
        <f>+L81/M81</f>
        <v>3064.1666666666665</v>
      </c>
      <c r="O81" s="89">
        <f>L81/(I81-J81-K81)</f>
        <v>7.6850890044915028</v>
      </c>
    </row>
    <row r="82" spans="1:15" x14ac:dyDescent="0.25">
      <c r="A82" t="s">
        <v>71</v>
      </c>
      <c r="B82" s="85">
        <v>45738</v>
      </c>
      <c r="C82" s="86">
        <f t="shared" si="2"/>
        <v>3</v>
      </c>
      <c r="D82" s="5">
        <v>872906</v>
      </c>
      <c r="E82" s="5">
        <f t="shared" si="3"/>
        <v>0</v>
      </c>
      <c r="F82" s="5">
        <v>7124</v>
      </c>
      <c r="G82" s="5">
        <v>5044</v>
      </c>
      <c r="H82" s="5">
        <v>0</v>
      </c>
      <c r="I82" s="5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</row>
    <row r="83" spans="1:15" x14ac:dyDescent="0.25">
      <c r="A83" t="s">
        <v>72</v>
      </c>
      <c r="B83" s="85">
        <v>45739</v>
      </c>
      <c r="C83" s="86">
        <f t="shared" si="2"/>
        <v>3</v>
      </c>
      <c r="D83" s="5">
        <v>872985</v>
      </c>
      <c r="E83" s="5">
        <f t="shared" si="3"/>
        <v>79</v>
      </c>
      <c r="F83" s="5">
        <v>4071</v>
      </c>
      <c r="G83" s="5">
        <v>4446</v>
      </c>
      <c r="H83" s="5">
        <v>0</v>
      </c>
      <c r="I83" s="5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</row>
    <row r="84" spans="1:15" x14ac:dyDescent="0.25">
      <c r="A84" t="s">
        <v>73</v>
      </c>
      <c r="B84" s="85">
        <v>45740</v>
      </c>
      <c r="C84" s="86">
        <f t="shared" si="2"/>
        <v>3</v>
      </c>
      <c r="D84" s="5">
        <v>873415</v>
      </c>
      <c r="E84" s="5">
        <f t="shared" si="3"/>
        <v>430</v>
      </c>
      <c r="F84" s="5">
        <v>33974</v>
      </c>
      <c r="G84" s="5">
        <v>11859</v>
      </c>
      <c r="H84" s="5">
        <v>30849.89</v>
      </c>
      <c r="I84" s="5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</row>
    <row r="85" spans="1:15" x14ac:dyDescent="0.25">
      <c r="A85" t="s">
        <v>74</v>
      </c>
      <c r="B85" s="85">
        <v>45741</v>
      </c>
      <c r="C85" s="86">
        <f t="shared" si="2"/>
        <v>3</v>
      </c>
      <c r="D85" s="5">
        <v>873838</v>
      </c>
      <c r="E85" s="5">
        <f t="shared" si="3"/>
        <v>423</v>
      </c>
      <c r="F85" s="5">
        <v>28737</v>
      </c>
      <c r="G85" s="5">
        <v>14964</v>
      </c>
      <c r="H85" s="5">
        <v>28953.35</v>
      </c>
      <c r="I85" s="5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</row>
    <row r="86" spans="1:15" x14ac:dyDescent="0.25">
      <c r="A86" t="s">
        <v>68</v>
      </c>
      <c r="B86" s="85">
        <v>45742</v>
      </c>
      <c r="C86" s="86">
        <f t="shared" si="2"/>
        <v>3</v>
      </c>
      <c r="D86" s="5">
        <v>874040</v>
      </c>
      <c r="E86" s="5">
        <f t="shared" si="3"/>
        <v>202</v>
      </c>
      <c r="F86" s="5">
        <v>16088</v>
      </c>
      <c r="G86" s="5">
        <v>9100</v>
      </c>
      <c r="H86" s="5">
        <v>0</v>
      </c>
      <c r="I86" s="5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</row>
    <row r="87" spans="1:15" x14ac:dyDescent="0.25">
      <c r="A87" t="s">
        <v>69</v>
      </c>
      <c r="B87" s="85">
        <v>45743</v>
      </c>
      <c r="C87" s="86">
        <f t="shared" si="2"/>
        <v>3</v>
      </c>
      <c r="D87" s="5">
        <v>874462</v>
      </c>
      <c r="E87" s="5">
        <f t="shared" si="3"/>
        <v>422</v>
      </c>
      <c r="F87" s="5">
        <v>30522</v>
      </c>
      <c r="G87" s="5">
        <v>12193</v>
      </c>
      <c r="H87" s="5">
        <v>26161.89</v>
      </c>
      <c r="I87" s="5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</row>
    <row r="88" spans="1:15" x14ac:dyDescent="0.25">
      <c r="A88" t="s">
        <v>70</v>
      </c>
      <c r="B88" s="85">
        <v>45744</v>
      </c>
      <c r="C88" s="86">
        <f t="shared" si="2"/>
        <v>3</v>
      </c>
      <c r="D88" s="5">
        <v>874728</v>
      </c>
      <c r="E88" s="5">
        <f t="shared" si="3"/>
        <v>266</v>
      </c>
      <c r="F88" s="5">
        <v>14963</v>
      </c>
      <c r="G88" s="5">
        <v>8289</v>
      </c>
      <c r="H88" s="5">
        <v>0</v>
      </c>
      <c r="I88" s="5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</row>
    <row r="89" spans="1:15" x14ac:dyDescent="0.25">
      <c r="A89" t="s">
        <v>71</v>
      </c>
      <c r="B89" s="85">
        <v>45745</v>
      </c>
      <c r="C89" s="86">
        <f t="shared" si="2"/>
        <v>3</v>
      </c>
      <c r="D89" s="5">
        <v>874728</v>
      </c>
      <c r="E89" s="5">
        <f t="shared" si="3"/>
        <v>0</v>
      </c>
      <c r="F89" s="5">
        <v>5695</v>
      </c>
      <c r="G89" s="5">
        <v>4271</v>
      </c>
      <c r="H89" s="5">
        <v>0</v>
      </c>
      <c r="I89" s="5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</row>
    <row r="90" spans="1:15" x14ac:dyDescent="0.25">
      <c r="A90" t="s">
        <v>72</v>
      </c>
      <c r="B90" s="85">
        <v>45746</v>
      </c>
      <c r="C90" s="86">
        <f t="shared" si="2"/>
        <v>3</v>
      </c>
      <c r="D90" s="5">
        <v>874796</v>
      </c>
      <c r="E90" s="5">
        <f t="shared" si="3"/>
        <v>68</v>
      </c>
      <c r="F90" s="5">
        <v>4401</v>
      </c>
      <c r="G90" s="5">
        <v>3663</v>
      </c>
      <c r="H90" s="5">
        <v>0</v>
      </c>
      <c r="I90" s="5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</row>
    <row r="91" spans="1:15" x14ac:dyDescent="0.25">
      <c r="A91" t="s">
        <v>73</v>
      </c>
      <c r="B91" s="85">
        <v>45747</v>
      </c>
      <c r="C91" s="86">
        <f t="shared" si="2"/>
        <v>3</v>
      </c>
      <c r="D91" s="90">
        <v>875253</v>
      </c>
      <c r="E91" s="5">
        <f t="shared" si="3"/>
        <v>457</v>
      </c>
      <c r="F91" s="5">
        <v>34216</v>
      </c>
      <c r="G91" s="5">
        <v>12414</v>
      </c>
      <c r="H91" s="5">
        <v>25257.37</v>
      </c>
      <c r="I91" s="5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</row>
    <row r="92" spans="1:15" x14ac:dyDescent="0.25">
      <c r="A92" t="s">
        <v>74</v>
      </c>
      <c r="B92" s="85">
        <v>45748</v>
      </c>
      <c r="C92" s="86">
        <f t="shared" si="2"/>
        <v>4</v>
      </c>
      <c r="D92" s="87">
        <v>875643</v>
      </c>
      <c r="E92" s="5">
        <f t="shared" si="3"/>
        <v>390</v>
      </c>
      <c r="F92" s="5">
        <v>25896</v>
      </c>
      <c r="G92" s="5">
        <v>12798</v>
      </c>
      <c r="H92" s="5">
        <v>26401.190000000002</v>
      </c>
      <c r="I92" s="5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</row>
    <row r="93" spans="1:15" x14ac:dyDescent="0.25">
      <c r="A93" t="s">
        <v>68</v>
      </c>
      <c r="B93" s="85">
        <v>45749</v>
      </c>
      <c r="C93" s="86">
        <f t="shared" si="2"/>
        <v>4</v>
      </c>
      <c r="D93" s="5">
        <v>875797</v>
      </c>
      <c r="E93" s="5">
        <f t="shared" si="3"/>
        <v>154</v>
      </c>
      <c r="F93" s="5">
        <v>14106</v>
      </c>
      <c r="G93" s="5">
        <v>9356</v>
      </c>
      <c r="H93" s="5">
        <v>0</v>
      </c>
      <c r="I93" s="5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</row>
    <row r="94" spans="1:15" x14ac:dyDescent="0.25">
      <c r="A94" t="s">
        <v>69</v>
      </c>
      <c r="B94" s="85">
        <v>45750</v>
      </c>
      <c r="C94" s="86">
        <f t="shared" si="2"/>
        <v>4</v>
      </c>
      <c r="D94" s="5">
        <v>876250</v>
      </c>
      <c r="E94" s="5">
        <f t="shared" si="3"/>
        <v>453</v>
      </c>
      <c r="F94" s="5">
        <v>31456</v>
      </c>
      <c r="G94" s="5">
        <v>14173</v>
      </c>
      <c r="H94" s="5">
        <v>38072.910000000003</v>
      </c>
      <c r="I94" s="5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</row>
    <row r="95" spans="1:15" x14ac:dyDescent="0.25">
      <c r="A95" t="s">
        <v>70</v>
      </c>
      <c r="B95" s="85">
        <v>45751</v>
      </c>
      <c r="C95" s="86">
        <f t="shared" si="2"/>
        <v>4</v>
      </c>
      <c r="D95" s="5">
        <v>876450</v>
      </c>
      <c r="E95" s="5">
        <f t="shared" si="3"/>
        <v>200</v>
      </c>
      <c r="F95" s="5">
        <v>17110</v>
      </c>
      <c r="G95" s="5">
        <v>10081</v>
      </c>
      <c r="H95" s="5">
        <v>0</v>
      </c>
      <c r="I95" s="5">
        <v>5576.6</v>
      </c>
      <c r="J95" s="88">
        <v>905</v>
      </c>
      <c r="K95" s="88">
        <v>290</v>
      </c>
      <c r="L95" s="88">
        <v>36486</v>
      </c>
      <c r="M95" s="88">
        <v>12</v>
      </c>
      <c r="N95" s="88">
        <f>+L95/M95</f>
        <v>3040.5</v>
      </c>
      <c r="O95" s="89">
        <f>L95/(I95-J95-K95)</f>
        <v>8.3270951250684675</v>
      </c>
    </row>
    <row r="96" spans="1:15" x14ac:dyDescent="0.25">
      <c r="A96" t="s">
        <v>71</v>
      </c>
      <c r="B96" s="85">
        <v>45752</v>
      </c>
      <c r="C96" s="86">
        <f t="shared" si="2"/>
        <v>4</v>
      </c>
      <c r="D96" s="5">
        <v>876450</v>
      </c>
      <c r="E96" s="5">
        <f t="shared" si="3"/>
        <v>0</v>
      </c>
      <c r="F96" s="5">
        <v>5647</v>
      </c>
      <c r="G96" s="5">
        <v>5497</v>
      </c>
      <c r="H96" s="5">
        <v>0</v>
      </c>
      <c r="I96" s="5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</row>
    <row r="97" spans="1:15" x14ac:dyDescent="0.25">
      <c r="A97" t="s">
        <v>72</v>
      </c>
      <c r="B97" s="85">
        <v>45753</v>
      </c>
      <c r="C97" s="86">
        <f t="shared" si="2"/>
        <v>4</v>
      </c>
      <c r="D97" s="5">
        <v>876544</v>
      </c>
      <c r="E97" s="5">
        <f t="shared" si="3"/>
        <v>94</v>
      </c>
      <c r="F97" s="5">
        <v>3258</v>
      </c>
      <c r="G97" s="5">
        <v>5145</v>
      </c>
      <c r="H97" s="5">
        <v>0</v>
      </c>
      <c r="I97" s="5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</row>
    <row r="98" spans="1:15" x14ac:dyDescent="0.25">
      <c r="A98" t="s">
        <v>73</v>
      </c>
      <c r="B98" s="85">
        <v>45754</v>
      </c>
      <c r="C98" s="86">
        <f t="shared" si="2"/>
        <v>4</v>
      </c>
      <c r="D98" s="5">
        <v>876966</v>
      </c>
      <c r="E98" s="5">
        <f t="shared" si="3"/>
        <v>422</v>
      </c>
      <c r="F98" s="5">
        <v>28405</v>
      </c>
      <c r="G98" s="5">
        <v>10973</v>
      </c>
      <c r="H98" s="5">
        <v>27372.43</v>
      </c>
      <c r="I98" s="5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</row>
    <row r="99" spans="1:15" x14ac:dyDescent="0.25">
      <c r="A99" t="s">
        <v>74</v>
      </c>
      <c r="B99" s="85">
        <v>45755</v>
      </c>
      <c r="C99" s="86">
        <f t="shared" si="2"/>
        <v>4</v>
      </c>
      <c r="D99" s="5">
        <v>877277</v>
      </c>
      <c r="E99" s="5">
        <f t="shared" si="3"/>
        <v>311</v>
      </c>
      <c r="F99" s="5">
        <v>30499</v>
      </c>
      <c r="G99" s="5">
        <v>14858</v>
      </c>
      <c r="H99" s="5">
        <v>31939.86</v>
      </c>
      <c r="I99" s="5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9">
        <v>0</v>
      </c>
    </row>
    <row r="100" spans="1:15" x14ac:dyDescent="0.25">
      <c r="A100" t="s">
        <v>68</v>
      </c>
      <c r="B100" s="85">
        <v>45756</v>
      </c>
      <c r="C100" s="86">
        <f t="shared" si="2"/>
        <v>4</v>
      </c>
      <c r="D100" s="5">
        <v>877656</v>
      </c>
      <c r="E100" s="5">
        <f t="shared" si="3"/>
        <v>379</v>
      </c>
      <c r="F100" s="5">
        <v>14264</v>
      </c>
      <c r="G100" s="5">
        <v>10315</v>
      </c>
      <c r="H100" s="5">
        <v>0</v>
      </c>
      <c r="I100" s="5">
        <v>4353.67</v>
      </c>
      <c r="J100" s="88">
        <v>760</v>
      </c>
      <c r="K100" s="88">
        <v>0</v>
      </c>
      <c r="L100" s="88">
        <v>25150</v>
      </c>
      <c r="M100" s="88">
        <v>8</v>
      </c>
      <c r="N100" s="88">
        <f>+L100/M100</f>
        <v>3143.75</v>
      </c>
      <c r="O100" s="89">
        <f>L100/(I100-J100-K100)</f>
        <v>6.9984166604056579</v>
      </c>
    </row>
    <row r="101" spans="1:15" x14ac:dyDescent="0.25">
      <c r="A101" t="s">
        <v>69</v>
      </c>
      <c r="B101" s="85">
        <v>45757</v>
      </c>
      <c r="C101" s="86">
        <f t="shared" si="2"/>
        <v>4</v>
      </c>
      <c r="D101" s="5">
        <v>877989</v>
      </c>
      <c r="E101" s="5">
        <f t="shared" si="3"/>
        <v>333</v>
      </c>
      <c r="F101" s="5">
        <v>31195</v>
      </c>
      <c r="G101" s="5">
        <v>14059</v>
      </c>
      <c r="H101" s="5">
        <v>35874.480000000003</v>
      </c>
      <c r="I101" s="5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</row>
    <row r="102" spans="1:15" x14ac:dyDescent="0.25">
      <c r="A102" t="s">
        <v>70</v>
      </c>
      <c r="B102" s="85">
        <v>45758</v>
      </c>
      <c r="C102" s="86">
        <f t="shared" si="2"/>
        <v>4</v>
      </c>
      <c r="D102" s="5">
        <v>878368</v>
      </c>
      <c r="E102" s="5">
        <f t="shared" si="3"/>
        <v>379</v>
      </c>
      <c r="F102" s="5">
        <v>15759</v>
      </c>
      <c r="G102" s="5">
        <v>10788</v>
      </c>
      <c r="H102" s="5">
        <v>0</v>
      </c>
      <c r="I102" s="5">
        <v>5648.05</v>
      </c>
      <c r="J102" s="88">
        <v>1288</v>
      </c>
      <c r="K102" s="88">
        <v>0</v>
      </c>
      <c r="L102" s="88">
        <v>38086</v>
      </c>
      <c r="M102" s="88">
        <v>12</v>
      </c>
      <c r="N102" s="88">
        <f>+L102/M102</f>
        <v>3173.8333333333335</v>
      </c>
      <c r="O102" s="89">
        <f>L102/(I102-J102-K102)</f>
        <v>8.7352209263655229</v>
      </c>
    </row>
    <row r="103" spans="1:15" x14ac:dyDescent="0.25">
      <c r="A103" t="s">
        <v>71</v>
      </c>
      <c r="B103" s="85">
        <v>45759</v>
      </c>
      <c r="C103" s="86">
        <f t="shared" si="2"/>
        <v>4</v>
      </c>
      <c r="D103" s="5">
        <v>878368</v>
      </c>
      <c r="E103" s="5">
        <f t="shared" si="3"/>
        <v>0</v>
      </c>
      <c r="F103" s="5">
        <v>4994</v>
      </c>
      <c r="G103" s="5">
        <v>5508</v>
      </c>
      <c r="H103" s="5">
        <v>0</v>
      </c>
      <c r="I103" s="5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</row>
    <row r="104" spans="1:15" x14ac:dyDescent="0.25">
      <c r="A104" t="s">
        <v>72</v>
      </c>
      <c r="B104" s="85">
        <v>45760</v>
      </c>
      <c r="C104" s="86">
        <f t="shared" si="2"/>
        <v>4</v>
      </c>
      <c r="D104" s="5">
        <v>878478</v>
      </c>
      <c r="E104" s="5">
        <f t="shared" si="3"/>
        <v>110</v>
      </c>
      <c r="F104" s="5">
        <v>2788</v>
      </c>
      <c r="G104" s="5">
        <v>4870</v>
      </c>
      <c r="H104" s="5">
        <v>0</v>
      </c>
      <c r="I104" s="5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</row>
    <row r="105" spans="1:15" x14ac:dyDescent="0.25">
      <c r="A105" t="s">
        <v>73</v>
      </c>
      <c r="B105" s="85">
        <v>45761</v>
      </c>
      <c r="C105" s="86">
        <f t="shared" si="2"/>
        <v>4</v>
      </c>
      <c r="D105" s="5">
        <v>878962</v>
      </c>
      <c r="E105" s="5">
        <f t="shared" si="3"/>
        <v>484</v>
      </c>
      <c r="F105" s="5">
        <v>37886</v>
      </c>
      <c r="G105" s="5">
        <v>14019</v>
      </c>
      <c r="H105" s="5">
        <v>34197.89</v>
      </c>
      <c r="I105" s="5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</row>
    <row r="106" spans="1:15" x14ac:dyDescent="0.25">
      <c r="A106" t="s">
        <v>74</v>
      </c>
      <c r="B106" s="85">
        <v>45762</v>
      </c>
      <c r="C106" s="86">
        <f t="shared" si="2"/>
        <v>4</v>
      </c>
      <c r="D106" s="5">
        <v>879457</v>
      </c>
      <c r="E106" s="5">
        <f t="shared" si="3"/>
        <v>495</v>
      </c>
      <c r="F106" s="5">
        <v>31461</v>
      </c>
      <c r="G106" s="5">
        <v>15968</v>
      </c>
      <c r="H106" s="5">
        <v>33916.799999999996</v>
      </c>
      <c r="I106" s="5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</row>
    <row r="107" spans="1:15" x14ac:dyDescent="0.25">
      <c r="A107" t="s">
        <v>68</v>
      </c>
      <c r="B107" s="85">
        <v>45763</v>
      </c>
      <c r="C107" s="86">
        <f t="shared" si="2"/>
        <v>4</v>
      </c>
      <c r="D107" s="5">
        <v>879974</v>
      </c>
      <c r="E107" s="5">
        <f t="shared" si="3"/>
        <v>517</v>
      </c>
      <c r="F107" s="5">
        <v>32857</v>
      </c>
      <c r="G107" s="5">
        <v>15605</v>
      </c>
      <c r="H107" s="5">
        <v>38454.17</v>
      </c>
      <c r="I107" s="5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</row>
    <row r="108" spans="1:15" x14ac:dyDescent="0.25">
      <c r="A108" t="s">
        <v>69</v>
      </c>
      <c r="B108" s="85">
        <v>45764</v>
      </c>
      <c r="C108" s="86">
        <f t="shared" si="2"/>
        <v>4</v>
      </c>
      <c r="D108" s="5">
        <v>880084</v>
      </c>
      <c r="E108" s="5">
        <f t="shared" si="3"/>
        <v>110</v>
      </c>
      <c r="F108" s="5">
        <v>12662</v>
      </c>
      <c r="G108" s="5">
        <v>8162</v>
      </c>
      <c r="H108" s="5">
        <v>0</v>
      </c>
      <c r="I108" s="5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</row>
    <row r="109" spans="1:15" x14ac:dyDescent="0.25">
      <c r="A109" t="s">
        <v>70</v>
      </c>
      <c r="B109" s="85">
        <v>45765</v>
      </c>
      <c r="C109" s="86">
        <f t="shared" si="2"/>
        <v>4</v>
      </c>
      <c r="D109" s="5">
        <v>880145</v>
      </c>
      <c r="E109" s="5">
        <f t="shared" si="3"/>
        <v>61</v>
      </c>
      <c r="F109" s="5">
        <v>12560</v>
      </c>
      <c r="G109" s="5">
        <v>5549</v>
      </c>
      <c r="H109" s="5">
        <v>0</v>
      </c>
      <c r="I109" s="5">
        <v>0</v>
      </c>
      <c r="J109" s="88">
        <v>0</v>
      </c>
      <c r="K109" s="88">
        <v>0</v>
      </c>
      <c r="L109" s="88">
        <v>0</v>
      </c>
      <c r="M109" s="88">
        <v>0</v>
      </c>
      <c r="N109" s="88">
        <v>0</v>
      </c>
      <c r="O109" s="88">
        <v>0</v>
      </c>
    </row>
    <row r="110" spans="1:15" x14ac:dyDescent="0.25">
      <c r="A110" t="s">
        <v>71</v>
      </c>
      <c r="B110" s="85">
        <v>45766</v>
      </c>
      <c r="C110" s="86">
        <f t="shared" si="2"/>
        <v>4</v>
      </c>
      <c r="D110" s="5">
        <v>880145</v>
      </c>
      <c r="E110" s="5">
        <f t="shared" si="3"/>
        <v>0</v>
      </c>
      <c r="F110" s="5">
        <v>5710</v>
      </c>
      <c r="G110" s="5">
        <v>5284</v>
      </c>
      <c r="H110" s="5">
        <v>0</v>
      </c>
      <c r="I110" s="5">
        <v>0</v>
      </c>
      <c r="J110" s="88">
        <v>0</v>
      </c>
      <c r="K110" s="88">
        <v>0</v>
      </c>
      <c r="L110" s="88">
        <v>0</v>
      </c>
      <c r="M110" s="88">
        <v>0</v>
      </c>
      <c r="N110" s="88">
        <v>0</v>
      </c>
      <c r="O110" s="88">
        <v>0</v>
      </c>
    </row>
    <row r="111" spans="1:15" x14ac:dyDescent="0.25">
      <c r="A111" t="s">
        <v>72</v>
      </c>
      <c r="B111" s="85">
        <v>45767</v>
      </c>
      <c r="C111" s="86">
        <f t="shared" si="2"/>
        <v>4</v>
      </c>
      <c r="D111" s="5">
        <v>880265</v>
      </c>
      <c r="E111" s="5">
        <f t="shared" si="3"/>
        <v>120</v>
      </c>
      <c r="F111" s="5">
        <v>3641</v>
      </c>
      <c r="G111" s="5">
        <v>4706</v>
      </c>
      <c r="H111" s="5">
        <v>0</v>
      </c>
      <c r="I111" s="5">
        <v>0</v>
      </c>
      <c r="J111" s="88">
        <v>0</v>
      </c>
      <c r="K111" s="88">
        <v>0</v>
      </c>
      <c r="L111" s="88">
        <v>0</v>
      </c>
      <c r="M111" s="88">
        <v>0</v>
      </c>
      <c r="N111" s="88">
        <v>0</v>
      </c>
      <c r="O111" s="88">
        <v>0</v>
      </c>
    </row>
    <row r="112" spans="1:15" x14ac:dyDescent="0.25">
      <c r="A112" t="s">
        <v>73</v>
      </c>
      <c r="B112" s="85">
        <v>45768</v>
      </c>
      <c r="C112" s="86">
        <f t="shared" si="2"/>
        <v>4</v>
      </c>
      <c r="D112" s="5">
        <v>880769</v>
      </c>
      <c r="E112" s="5">
        <f t="shared" si="3"/>
        <v>504</v>
      </c>
      <c r="F112" s="5">
        <v>35620</v>
      </c>
      <c r="G112" s="5">
        <v>13128</v>
      </c>
      <c r="H112" s="5">
        <v>35581.199999999997</v>
      </c>
      <c r="I112" s="5">
        <v>0</v>
      </c>
      <c r="J112" s="88">
        <v>0</v>
      </c>
      <c r="K112" s="88">
        <v>0</v>
      </c>
      <c r="L112" s="88">
        <v>0</v>
      </c>
      <c r="M112" s="88">
        <v>0</v>
      </c>
      <c r="N112" s="88">
        <v>0</v>
      </c>
      <c r="O112" s="88">
        <v>0</v>
      </c>
    </row>
    <row r="113" spans="1:15" x14ac:dyDescent="0.25">
      <c r="A113" t="s">
        <v>74</v>
      </c>
      <c r="B113" s="85">
        <v>45769</v>
      </c>
      <c r="C113" s="86">
        <f t="shared" si="2"/>
        <v>4</v>
      </c>
      <c r="D113" s="5">
        <v>881267</v>
      </c>
      <c r="E113" s="5">
        <f t="shared" si="3"/>
        <v>498</v>
      </c>
      <c r="F113" s="5">
        <v>31794</v>
      </c>
      <c r="G113" s="5">
        <v>16163</v>
      </c>
      <c r="H113" s="5">
        <v>34106.460000000006</v>
      </c>
      <c r="I113" s="5">
        <v>0</v>
      </c>
      <c r="J113" s="88">
        <v>0</v>
      </c>
      <c r="K113" s="88">
        <v>0</v>
      </c>
      <c r="L113" s="88">
        <v>0</v>
      </c>
      <c r="M113" s="88">
        <v>0</v>
      </c>
      <c r="N113" s="88">
        <v>0</v>
      </c>
      <c r="O113" s="88">
        <v>0</v>
      </c>
    </row>
    <row r="114" spans="1:15" x14ac:dyDescent="0.25">
      <c r="A114" t="s">
        <v>68</v>
      </c>
      <c r="B114" s="85">
        <v>45770</v>
      </c>
      <c r="C114" s="86">
        <f t="shared" si="2"/>
        <v>4</v>
      </c>
      <c r="D114" s="5">
        <v>881368</v>
      </c>
      <c r="E114" s="5">
        <f t="shared" si="3"/>
        <v>101</v>
      </c>
      <c r="F114" s="5">
        <v>12216</v>
      </c>
      <c r="G114" s="5">
        <v>7714</v>
      </c>
      <c r="H114" s="5">
        <v>0</v>
      </c>
      <c r="I114" s="5">
        <v>0</v>
      </c>
      <c r="J114" s="88">
        <v>0</v>
      </c>
      <c r="K114" s="88">
        <v>0</v>
      </c>
      <c r="L114" s="88">
        <v>0</v>
      </c>
      <c r="M114" s="88">
        <v>0</v>
      </c>
      <c r="N114" s="88">
        <v>0</v>
      </c>
      <c r="O114" s="88">
        <v>0</v>
      </c>
    </row>
    <row r="115" spans="1:15" x14ac:dyDescent="0.25">
      <c r="A115" t="s">
        <v>69</v>
      </c>
      <c r="B115" s="85">
        <v>45771</v>
      </c>
      <c r="C115" s="86">
        <f t="shared" si="2"/>
        <v>4</v>
      </c>
      <c r="D115" s="5">
        <v>881845</v>
      </c>
      <c r="E115" s="5">
        <f t="shared" si="3"/>
        <v>477</v>
      </c>
      <c r="F115" s="5">
        <v>33308</v>
      </c>
      <c r="G115" s="5">
        <v>14395</v>
      </c>
      <c r="H115" s="5">
        <v>35887.289999999994</v>
      </c>
      <c r="I115" s="5">
        <v>0</v>
      </c>
      <c r="J115" s="88">
        <v>0</v>
      </c>
      <c r="K115" s="88">
        <v>0</v>
      </c>
      <c r="L115" s="88">
        <v>0</v>
      </c>
      <c r="M115" s="88">
        <v>0</v>
      </c>
      <c r="N115" s="88">
        <v>0</v>
      </c>
      <c r="O115" s="88">
        <v>0</v>
      </c>
    </row>
    <row r="116" spans="1:15" x14ac:dyDescent="0.25">
      <c r="A116" t="s">
        <v>70</v>
      </c>
      <c r="B116" s="85">
        <v>45772</v>
      </c>
      <c r="C116" s="86">
        <f t="shared" si="2"/>
        <v>4</v>
      </c>
      <c r="D116" s="5">
        <v>882431</v>
      </c>
      <c r="E116" s="5">
        <f t="shared" si="3"/>
        <v>586</v>
      </c>
      <c r="F116" s="5">
        <v>31803</v>
      </c>
      <c r="G116" s="5">
        <v>18750</v>
      </c>
      <c r="H116" s="5">
        <v>33044.03</v>
      </c>
      <c r="I116" s="5">
        <v>0</v>
      </c>
      <c r="J116" s="88">
        <v>0</v>
      </c>
      <c r="K116" s="88">
        <v>0</v>
      </c>
      <c r="L116" s="88">
        <v>0</v>
      </c>
      <c r="M116" s="88">
        <v>0</v>
      </c>
      <c r="N116" s="88">
        <v>0</v>
      </c>
      <c r="O116" s="88">
        <v>0</v>
      </c>
    </row>
    <row r="117" spans="1:15" x14ac:dyDescent="0.25">
      <c r="A117" t="s">
        <v>71</v>
      </c>
      <c r="B117" s="85">
        <v>45773</v>
      </c>
      <c r="C117" s="86">
        <f t="shared" si="2"/>
        <v>4</v>
      </c>
      <c r="D117" s="5">
        <v>882431</v>
      </c>
      <c r="E117" s="5">
        <f t="shared" si="3"/>
        <v>0</v>
      </c>
      <c r="F117" s="5">
        <v>5901</v>
      </c>
      <c r="G117" s="5">
        <v>8715</v>
      </c>
      <c r="H117" s="5">
        <v>0</v>
      </c>
      <c r="I117" s="5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</row>
    <row r="118" spans="1:15" x14ac:dyDescent="0.25">
      <c r="A118" t="s">
        <v>72</v>
      </c>
      <c r="B118" s="85">
        <v>45774</v>
      </c>
      <c r="C118" s="86">
        <f t="shared" si="2"/>
        <v>4</v>
      </c>
      <c r="D118" s="5">
        <v>882568</v>
      </c>
      <c r="E118" s="5">
        <f t="shared" si="3"/>
        <v>137</v>
      </c>
      <c r="F118" s="5">
        <v>3649</v>
      </c>
      <c r="G118" s="5">
        <v>5140</v>
      </c>
      <c r="H118" s="5">
        <v>0</v>
      </c>
      <c r="I118" s="5">
        <v>0</v>
      </c>
      <c r="J118" s="88">
        <v>0</v>
      </c>
      <c r="K118" s="88">
        <v>0</v>
      </c>
      <c r="L118" s="88">
        <v>0</v>
      </c>
      <c r="M118" s="88">
        <v>0</v>
      </c>
      <c r="N118" s="88">
        <v>0</v>
      </c>
      <c r="O118" s="88">
        <v>0</v>
      </c>
    </row>
    <row r="119" spans="1:15" x14ac:dyDescent="0.25">
      <c r="A119" t="s">
        <v>73</v>
      </c>
      <c r="B119" s="85">
        <v>45775</v>
      </c>
      <c r="C119" s="86">
        <f t="shared" si="2"/>
        <v>4</v>
      </c>
      <c r="D119" s="5">
        <v>882961</v>
      </c>
      <c r="E119" s="5">
        <f t="shared" si="3"/>
        <v>393</v>
      </c>
      <c r="F119" s="5">
        <v>26236</v>
      </c>
      <c r="G119" s="5">
        <v>8413</v>
      </c>
      <c r="H119" s="5">
        <v>16653.629999999997</v>
      </c>
      <c r="I119" s="5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</row>
    <row r="120" spans="1:15" x14ac:dyDescent="0.25">
      <c r="A120" t="s">
        <v>74</v>
      </c>
      <c r="B120" s="85">
        <v>45776</v>
      </c>
      <c r="C120" s="86">
        <f t="shared" si="2"/>
        <v>4</v>
      </c>
      <c r="D120" s="5">
        <v>883446</v>
      </c>
      <c r="E120" s="5">
        <f t="shared" si="3"/>
        <v>485</v>
      </c>
      <c r="F120" s="5">
        <v>25175</v>
      </c>
      <c r="G120" s="5">
        <v>12739</v>
      </c>
      <c r="H120" s="5">
        <v>15180.96</v>
      </c>
      <c r="I120" s="5">
        <v>0</v>
      </c>
      <c r="J120" s="88">
        <v>0</v>
      </c>
      <c r="K120" s="88">
        <v>0</v>
      </c>
      <c r="L120" s="88">
        <v>0</v>
      </c>
      <c r="M120" s="88">
        <v>0</v>
      </c>
      <c r="N120" s="88">
        <v>0</v>
      </c>
      <c r="O120" s="88">
        <v>0</v>
      </c>
    </row>
    <row r="121" spans="1:15" x14ac:dyDescent="0.25">
      <c r="A121" t="s">
        <v>68</v>
      </c>
      <c r="B121" s="85">
        <v>45777</v>
      </c>
      <c r="C121" s="86">
        <f t="shared" si="2"/>
        <v>4</v>
      </c>
      <c r="D121" s="90">
        <v>883977</v>
      </c>
      <c r="E121" s="5">
        <f t="shared" si="3"/>
        <v>531</v>
      </c>
      <c r="F121" s="5">
        <v>30409</v>
      </c>
      <c r="G121" s="5">
        <v>15588</v>
      </c>
      <c r="H121" s="5">
        <v>32627.38</v>
      </c>
      <c r="I121" s="5">
        <v>0</v>
      </c>
      <c r="J121" s="88">
        <v>0</v>
      </c>
      <c r="K121" s="88">
        <v>0</v>
      </c>
      <c r="L121" s="88">
        <v>0</v>
      </c>
      <c r="M121" s="88">
        <v>0</v>
      </c>
      <c r="N121" s="88">
        <v>0</v>
      </c>
      <c r="O121" s="88">
        <v>0</v>
      </c>
    </row>
    <row r="122" spans="1:15" x14ac:dyDescent="0.25">
      <c r="A122" t="s">
        <v>69</v>
      </c>
      <c r="B122" s="85">
        <v>45778</v>
      </c>
      <c r="C122" s="86">
        <f t="shared" si="2"/>
        <v>5</v>
      </c>
      <c r="D122" s="87">
        <v>884059</v>
      </c>
      <c r="E122" s="5">
        <f t="shared" si="3"/>
        <v>82</v>
      </c>
      <c r="F122" s="5">
        <v>11867</v>
      </c>
      <c r="G122" s="5">
        <v>8288</v>
      </c>
      <c r="H122" s="5">
        <v>0</v>
      </c>
      <c r="I122" s="5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</row>
    <row r="123" spans="1:15" x14ac:dyDescent="0.25">
      <c r="A123" t="s">
        <v>70</v>
      </c>
      <c r="B123" s="85">
        <v>45779</v>
      </c>
      <c r="C123" s="86">
        <f t="shared" si="2"/>
        <v>5</v>
      </c>
      <c r="D123" s="5">
        <v>884622</v>
      </c>
      <c r="E123" s="5">
        <f t="shared" si="3"/>
        <v>563</v>
      </c>
      <c r="F123" s="5">
        <v>33073</v>
      </c>
      <c r="G123" s="5">
        <v>15549</v>
      </c>
      <c r="H123" s="5">
        <v>33295.64</v>
      </c>
      <c r="I123" s="5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</row>
    <row r="124" spans="1:15" x14ac:dyDescent="0.25">
      <c r="A124" t="s">
        <v>71</v>
      </c>
      <c r="B124" s="85">
        <v>45780</v>
      </c>
      <c r="C124" s="86">
        <f t="shared" si="2"/>
        <v>5</v>
      </c>
      <c r="D124" s="5">
        <v>884622</v>
      </c>
      <c r="E124" s="5">
        <f t="shared" si="3"/>
        <v>0</v>
      </c>
      <c r="F124" s="5">
        <v>5750</v>
      </c>
      <c r="G124" s="5">
        <v>7710</v>
      </c>
      <c r="H124" s="5">
        <v>0</v>
      </c>
      <c r="I124" s="5">
        <v>0</v>
      </c>
      <c r="J124" s="88">
        <v>0</v>
      </c>
      <c r="K124" s="88">
        <v>0</v>
      </c>
      <c r="L124" s="88">
        <v>0</v>
      </c>
      <c r="M124" s="88">
        <v>0</v>
      </c>
      <c r="N124" s="88">
        <v>0</v>
      </c>
      <c r="O124" s="88">
        <v>0</v>
      </c>
    </row>
    <row r="125" spans="1:15" x14ac:dyDescent="0.25">
      <c r="A125" t="s">
        <v>72</v>
      </c>
      <c r="B125" s="85">
        <v>45781</v>
      </c>
      <c r="C125" s="86">
        <f t="shared" si="2"/>
        <v>5</v>
      </c>
      <c r="D125" s="5">
        <v>884738</v>
      </c>
      <c r="E125" s="5">
        <f t="shared" si="3"/>
        <v>116</v>
      </c>
      <c r="F125" s="5">
        <v>2407</v>
      </c>
      <c r="G125" s="5">
        <v>4993</v>
      </c>
      <c r="H125" s="5">
        <v>0</v>
      </c>
      <c r="I125" s="5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</row>
    <row r="126" spans="1:15" x14ac:dyDescent="0.25">
      <c r="A126" t="s">
        <v>73</v>
      </c>
      <c r="B126" s="85">
        <v>45782</v>
      </c>
      <c r="C126" s="86">
        <f t="shared" si="2"/>
        <v>5</v>
      </c>
      <c r="D126" s="5">
        <v>885216</v>
      </c>
      <c r="E126" s="5">
        <f t="shared" si="3"/>
        <v>478</v>
      </c>
      <c r="F126" s="5">
        <v>36475</v>
      </c>
      <c r="G126" s="5">
        <v>14228</v>
      </c>
      <c r="H126" s="5">
        <v>35454.820000000007</v>
      </c>
      <c r="I126" s="5">
        <v>0</v>
      </c>
      <c r="J126" s="88">
        <v>0</v>
      </c>
      <c r="K126" s="88">
        <v>0</v>
      </c>
      <c r="L126" s="88">
        <v>0</v>
      </c>
      <c r="M126" s="88">
        <v>0</v>
      </c>
      <c r="N126" s="88">
        <v>0</v>
      </c>
      <c r="O126" s="88">
        <v>0</v>
      </c>
    </row>
    <row r="127" spans="1:15" x14ac:dyDescent="0.25">
      <c r="A127" t="s">
        <v>74</v>
      </c>
      <c r="B127" s="85">
        <v>45783</v>
      </c>
      <c r="C127" s="86">
        <f t="shared" si="2"/>
        <v>5</v>
      </c>
      <c r="D127" s="5">
        <v>885689</v>
      </c>
      <c r="E127" s="5">
        <f t="shared" si="3"/>
        <v>473</v>
      </c>
      <c r="F127" s="5">
        <v>32062</v>
      </c>
      <c r="G127" s="5">
        <v>16138</v>
      </c>
      <c r="H127" s="5">
        <v>33726.71</v>
      </c>
      <c r="I127" s="5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</row>
    <row r="128" spans="1:15" x14ac:dyDescent="0.25">
      <c r="A128" t="s">
        <v>68</v>
      </c>
      <c r="B128" s="85">
        <v>45784</v>
      </c>
      <c r="C128" s="86">
        <f t="shared" si="2"/>
        <v>5</v>
      </c>
      <c r="D128" s="5">
        <v>886139</v>
      </c>
      <c r="E128" s="5">
        <f t="shared" si="3"/>
        <v>450</v>
      </c>
      <c r="F128" s="5">
        <v>30830</v>
      </c>
      <c r="G128" s="5">
        <v>15459.25</v>
      </c>
      <c r="H128" s="5">
        <v>35906.339999999997</v>
      </c>
      <c r="I128" s="5">
        <v>0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</row>
    <row r="129" spans="1:15" x14ac:dyDescent="0.25">
      <c r="A129" t="s">
        <v>69</v>
      </c>
      <c r="B129" s="85">
        <v>45785</v>
      </c>
      <c r="C129" s="86">
        <f t="shared" si="2"/>
        <v>5</v>
      </c>
      <c r="D129" s="5">
        <v>886622</v>
      </c>
      <c r="E129" s="5">
        <f t="shared" si="3"/>
        <v>483</v>
      </c>
      <c r="F129" s="5">
        <v>31158</v>
      </c>
      <c r="G129" s="5">
        <v>16048.5</v>
      </c>
      <c r="H129" s="5">
        <v>33080.300000000003</v>
      </c>
      <c r="I129" s="5">
        <v>0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</row>
    <row r="130" spans="1:15" x14ac:dyDescent="0.25">
      <c r="A130" t="s">
        <v>70</v>
      </c>
      <c r="B130" s="85">
        <v>45786</v>
      </c>
      <c r="C130" s="86">
        <f t="shared" si="2"/>
        <v>5</v>
      </c>
      <c r="D130" s="5">
        <v>886799</v>
      </c>
      <c r="E130" s="5">
        <f t="shared" si="3"/>
        <v>177</v>
      </c>
      <c r="F130" s="5">
        <v>14998</v>
      </c>
      <c r="G130" s="5">
        <v>9755.5</v>
      </c>
      <c r="H130" s="5">
        <v>0</v>
      </c>
      <c r="I130" s="5">
        <v>6456.1500000000005</v>
      </c>
      <c r="J130" s="88">
        <v>1540</v>
      </c>
      <c r="K130" s="88">
        <v>0</v>
      </c>
      <c r="L130" s="88">
        <v>43190</v>
      </c>
      <c r="M130" s="88">
        <v>14</v>
      </c>
      <c r="N130" s="88">
        <f>+L130/M130</f>
        <v>3085</v>
      </c>
      <c r="O130" s="89">
        <f>L130/(I130-J130-K130)</f>
        <v>8.7853299838288077</v>
      </c>
    </row>
    <row r="131" spans="1:15" x14ac:dyDescent="0.25">
      <c r="A131" t="s">
        <v>71</v>
      </c>
      <c r="B131" s="85">
        <v>45787</v>
      </c>
      <c r="C131" s="86">
        <f t="shared" ref="C131:C194" si="4">MONTH(B131)</f>
        <v>5</v>
      </c>
      <c r="D131" s="5">
        <v>886799</v>
      </c>
      <c r="E131" s="5">
        <f t="shared" ref="E131:E194" si="5">+D131-D130</f>
        <v>0</v>
      </c>
      <c r="F131" s="5">
        <v>6080</v>
      </c>
      <c r="G131" s="5">
        <v>5486.75</v>
      </c>
      <c r="H131" s="5">
        <v>0</v>
      </c>
      <c r="I131" s="5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</row>
    <row r="132" spans="1:15" x14ac:dyDescent="0.25">
      <c r="A132" t="s">
        <v>72</v>
      </c>
      <c r="B132" s="85">
        <v>45788</v>
      </c>
      <c r="C132" s="86">
        <f t="shared" si="4"/>
        <v>5</v>
      </c>
      <c r="D132" s="5">
        <v>887124</v>
      </c>
      <c r="E132" s="5">
        <f t="shared" si="5"/>
        <v>325</v>
      </c>
      <c r="F132" s="5">
        <v>3067</v>
      </c>
      <c r="G132" s="5">
        <v>4841</v>
      </c>
      <c r="H132" s="5">
        <v>0</v>
      </c>
      <c r="I132" s="5">
        <v>0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</row>
    <row r="133" spans="1:15" x14ac:dyDescent="0.25">
      <c r="A133" t="s">
        <v>73</v>
      </c>
      <c r="B133" s="85">
        <v>45789</v>
      </c>
      <c r="C133" s="86">
        <f t="shared" si="4"/>
        <v>5</v>
      </c>
      <c r="D133" s="5">
        <v>887565</v>
      </c>
      <c r="E133" s="5">
        <f t="shared" si="5"/>
        <v>441</v>
      </c>
      <c r="F133" s="5">
        <v>33864</v>
      </c>
      <c r="G133" s="5">
        <v>13361</v>
      </c>
      <c r="H133" s="5">
        <v>28469.899999999998</v>
      </c>
      <c r="I133" s="5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</row>
    <row r="134" spans="1:15" x14ac:dyDescent="0.25">
      <c r="A134" t="s">
        <v>74</v>
      </c>
      <c r="B134" s="85">
        <v>45790</v>
      </c>
      <c r="C134" s="86">
        <f t="shared" si="4"/>
        <v>5</v>
      </c>
      <c r="D134" s="5">
        <v>887889</v>
      </c>
      <c r="E134" s="5">
        <f t="shared" si="5"/>
        <v>324</v>
      </c>
      <c r="F134" s="5">
        <v>16395</v>
      </c>
      <c r="G134" s="5">
        <v>10722</v>
      </c>
      <c r="H134" s="5">
        <v>0</v>
      </c>
      <c r="I134" s="5">
        <v>6095.2899999999991</v>
      </c>
      <c r="J134" s="88">
        <v>1540</v>
      </c>
      <c r="K134" s="88">
        <v>0</v>
      </c>
      <c r="L134" s="88">
        <v>42000</v>
      </c>
      <c r="M134" s="88">
        <v>14</v>
      </c>
      <c r="N134" s="88">
        <f>+L134/M134</f>
        <v>3000</v>
      </c>
      <c r="O134" s="89">
        <f>L134/(I134-J134-K134)</f>
        <v>9.2200496565531527</v>
      </c>
    </row>
    <row r="135" spans="1:15" x14ac:dyDescent="0.25">
      <c r="A135" t="s">
        <v>68</v>
      </c>
      <c r="B135" s="85">
        <v>45791</v>
      </c>
      <c r="C135" s="86">
        <f t="shared" si="4"/>
        <v>5</v>
      </c>
      <c r="D135" s="5">
        <v>888334</v>
      </c>
      <c r="E135" s="5">
        <f t="shared" si="5"/>
        <v>445</v>
      </c>
      <c r="F135" s="5">
        <v>25985</v>
      </c>
      <c r="G135" s="5">
        <v>12806</v>
      </c>
      <c r="H135" s="5">
        <v>23504.48</v>
      </c>
      <c r="I135" s="5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</row>
    <row r="136" spans="1:15" x14ac:dyDescent="0.25">
      <c r="A136" t="s">
        <v>69</v>
      </c>
      <c r="B136" s="85">
        <v>45792</v>
      </c>
      <c r="C136" s="86">
        <f t="shared" si="4"/>
        <v>5</v>
      </c>
      <c r="D136" s="5">
        <v>888780</v>
      </c>
      <c r="E136" s="5">
        <f t="shared" si="5"/>
        <v>446</v>
      </c>
      <c r="F136" s="5">
        <v>30090</v>
      </c>
      <c r="G136" s="5">
        <v>14229</v>
      </c>
      <c r="H136" s="5">
        <v>31956.14</v>
      </c>
      <c r="I136" s="5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</row>
    <row r="137" spans="1:15" x14ac:dyDescent="0.25">
      <c r="A137" t="s">
        <v>70</v>
      </c>
      <c r="B137" s="85">
        <v>45793</v>
      </c>
      <c r="C137" s="86">
        <f t="shared" si="4"/>
        <v>5</v>
      </c>
      <c r="D137" s="5">
        <v>889258</v>
      </c>
      <c r="E137" s="5">
        <f t="shared" si="5"/>
        <v>478</v>
      </c>
      <c r="F137" s="5">
        <v>26625</v>
      </c>
      <c r="G137" s="5">
        <v>16914</v>
      </c>
      <c r="H137" s="5">
        <v>28761.52</v>
      </c>
      <c r="I137" s="5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</row>
    <row r="138" spans="1:15" x14ac:dyDescent="0.25">
      <c r="A138" t="s">
        <v>71</v>
      </c>
      <c r="B138" s="85">
        <v>45794</v>
      </c>
      <c r="C138" s="86">
        <f t="shared" si="4"/>
        <v>5</v>
      </c>
      <c r="D138" s="5">
        <v>889258</v>
      </c>
      <c r="E138" s="5">
        <f t="shared" si="5"/>
        <v>0</v>
      </c>
      <c r="F138" s="5">
        <v>4213</v>
      </c>
      <c r="G138" s="5">
        <v>6316</v>
      </c>
      <c r="H138" s="5">
        <v>0</v>
      </c>
      <c r="I138" s="5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</row>
    <row r="139" spans="1:15" x14ac:dyDescent="0.25">
      <c r="A139" t="s">
        <v>72</v>
      </c>
      <c r="B139" s="85">
        <v>45795</v>
      </c>
      <c r="C139" s="86">
        <f t="shared" si="4"/>
        <v>5</v>
      </c>
      <c r="D139" s="5">
        <v>889378</v>
      </c>
      <c r="E139" s="5">
        <f t="shared" si="5"/>
        <v>120</v>
      </c>
      <c r="F139" s="5">
        <v>1865</v>
      </c>
      <c r="G139" s="5">
        <v>4942</v>
      </c>
      <c r="H139" s="5">
        <v>0</v>
      </c>
      <c r="I139" s="5">
        <v>0</v>
      </c>
      <c r="J139" s="88">
        <v>0</v>
      </c>
      <c r="K139" s="88">
        <v>0</v>
      </c>
      <c r="L139" s="88">
        <v>0</v>
      </c>
      <c r="M139" s="88">
        <v>0</v>
      </c>
      <c r="N139" s="88">
        <v>0</v>
      </c>
      <c r="O139" s="88">
        <v>0</v>
      </c>
    </row>
    <row r="140" spans="1:15" x14ac:dyDescent="0.25">
      <c r="A140" t="s">
        <v>73</v>
      </c>
      <c r="B140" s="85">
        <v>45796</v>
      </c>
      <c r="C140" s="86">
        <f t="shared" si="4"/>
        <v>5</v>
      </c>
      <c r="D140" s="5">
        <v>889907</v>
      </c>
      <c r="E140" s="5">
        <f t="shared" si="5"/>
        <v>529</v>
      </c>
      <c r="F140" s="5">
        <v>33190</v>
      </c>
      <c r="G140" s="5">
        <v>14364</v>
      </c>
      <c r="H140" s="5">
        <v>31683.360000000001</v>
      </c>
      <c r="I140" s="5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</row>
    <row r="141" spans="1:15" x14ac:dyDescent="0.25">
      <c r="A141" t="s">
        <v>74</v>
      </c>
      <c r="B141" s="85">
        <v>45797</v>
      </c>
      <c r="C141" s="86">
        <f t="shared" si="4"/>
        <v>5</v>
      </c>
      <c r="D141" s="5">
        <v>890163</v>
      </c>
      <c r="E141" s="5">
        <f t="shared" si="5"/>
        <v>256</v>
      </c>
      <c r="F141" s="5">
        <v>16964</v>
      </c>
      <c r="G141" s="5">
        <v>10181</v>
      </c>
      <c r="H141" s="5">
        <v>0</v>
      </c>
      <c r="I141" s="5">
        <v>7567.53</v>
      </c>
      <c r="J141" s="88">
        <v>1630</v>
      </c>
      <c r="K141" s="88">
        <v>580</v>
      </c>
      <c r="L141" s="88">
        <v>47180</v>
      </c>
      <c r="M141" s="88">
        <v>15</v>
      </c>
      <c r="N141" s="88">
        <f>+L141/M141</f>
        <v>3145.3333333333335</v>
      </c>
      <c r="O141" s="89">
        <f>L141/(I141-J141-K141)</f>
        <v>8.8062969316084097</v>
      </c>
    </row>
    <row r="142" spans="1:15" x14ac:dyDescent="0.25">
      <c r="A142" t="s">
        <v>68</v>
      </c>
      <c r="B142" s="85">
        <v>45798</v>
      </c>
      <c r="C142" s="86">
        <f t="shared" si="4"/>
        <v>5</v>
      </c>
      <c r="D142" s="5">
        <v>890593</v>
      </c>
      <c r="E142" s="5">
        <f t="shared" si="5"/>
        <v>430</v>
      </c>
      <c r="F142" s="5">
        <v>27238</v>
      </c>
      <c r="G142" s="5">
        <v>13529</v>
      </c>
      <c r="H142" s="5">
        <v>27951.1</v>
      </c>
      <c r="I142" s="5">
        <v>0</v>
      </c>
      <c r="J142" s="88">
        <v>0</v>
      </c>
      <c r="K142" s="88">
        <v>0</v>
      </c>
      <c r="L142" s="88">
        <v>0</v>
      </c>
      <c r="M142" s="88">
        <v>0</v>
      </c>
      <c r="N142" s="88">
        <v>0</v>
      </c>
      <c r="O142" s="88">
        <v>0</v>
      </c>
    </row>
    <row r="143" spans="1:15" x14ac:dyDescent="0.25">
      <c r="A143" t="s">
        <v>69</v>
      </c>
      <c r="B143" s="85">
        <v>45799</v>
      </c>
      <c r="C143" s="86">
        <f t="shared" si="4"/>
        <v>5</v>
      </c>
      <c r="D143" s="5">
        <v>891069</v>
      </c>
      <c r="E143" s="5">
        <f t="shared" si="5"/>
        <v>476</v>
      </c>
      <c r="F143" s="5">
        <v>32396</v>
      </c>
      <c r="G143" s="5">
        <v>14900</v>
      </c>
      <c r="H143" s="5">
        <v>32236.89</v>
      </c>
      <c r="I143" s="5">
        <v>0</v>
      </c>
      <c r="J143" s="88">
        <v>0</v>
      </c>
      <c r="K143" s="88">
        <v>0</v>
      </c>
      <c r="L143" s="88">
        <v>0</v>
      </c>
      <c r="M143" s="88">
        <v>0</v>
      </c>
      <c r="N143" s="88">
        <v>0</v>
      </c>
      <c r="O143" s="88">
        <v>0</v>
      </c>
    </row>
    <row r="144" spans="1:15" x14ac:dyDescent="0.25">
      <c r="A144" t="s">
        <v>70</v>
      </c>
      <c r="B144" s="85">
        <v>45800</v>
      </c>
      <c r="C144" s="86">
        <f t="shared" si="4"/>
        <v>5</v>
      </c>
      <c r="D144" s="5">
        <v>891627</v>
      </c>
      <c r="E144" s="5">
        <f t="shared" si="5"/>
        <v>558</v>
      </c>
      <c r="F144" s="5">
        <v>30267</v>
      </c>
      <c r="G144" s="5">
        <v>16048</v>
      </c>
      <c r="H144" s="5">
        <v>33101.9</v>
      </c>
      <c r="I144" s="5">
        <v>0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</row>
    <row r="145" spans="1:15" x14ac:dyDescent="0.25">
      <c r="A145" t="s">
        <v>71</v>
      </c>
      <c r="B145" s="85">
        <v>45801</v>
      </c>
      <c r="C145" s="86">
        <f t="shared" si="4"/>
        <v>5</v>
      </c>
      <c r="D145" s="5">
        <v>891772</v>
      </c>
      <c r="E145" s="5">
        <f t="shared" si="5"/>
        <v>145</v>
      </c>
      <c r="F145" s="5">
        <v>4175</v>
      </c>
      <c r="G145" s="5">
        <v>7832</v>
      </c>
      <c r="H145" s="5">
        <v>0</v>
      </c>
      <c r="I145" s="5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</row>
    <row r="146" spans="1:15" x14ac:dyDescent="0.25">
      <c r="A146" t="s">
        <v>72</v>
      </c>
      <c r="B146" s="85">
        <v>45802</v>
      </c>
      <c r="C146" s="86">
        <f t="shared" si="4"/>
        <v>5</v>
      </c>
      <c r="D146" s="5">
        <v>891772</v>
      </c>
      <c r="E146" s="5">
        <f t="shared" si="5"/>
        <v>0</v>
      </c>
      <c r="F146" s="5">
        <v>1325</v>
      </c>
      <c r="G146" s="5">
        <v>4758</v>
      </c>
      <c r="H146" s="5">
        <v>0</v>
      </c>
      <c r="I146" s="5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</row>
    <row r="147" spans="1:15" x14ac:dyDescent="0.25">
      <c r="A147" t="s">
        <v>73</v>
      </c>
      <c r="B147" s="85">
        <v>45803</v>
      </c>
      <c r="C147" s="86">
        <f t="shared" si="4"/>
        <v>5</v>
      </c>
      <c r="D147" s="5">
        <v>892232</v>
      </c>
      <c r="E147" s="5">
        <f t="shared" si="5"/>
        <v>460</v>
      </c>
      <c r="F147" s="5">
        <v>33277</v>
      </c>
      <c r="G147" s="5">
        <v>14244</v>
      </c>
      <c r="H147" s="5">
        <v>33557.89</v>
      </c>
      <c r="I147" s="5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</row>
    <row r="148" spans="1:15" x14ac:dyDescent="0.25">
      <c r="A148" t="s">
        <v>74</v>
      </c>
      <c r="B148" s="85">
        <v>45804</v>
      </c>
      <c r="C148" s="86">
        <f t="shared" si="4"/>
        <v>5</v>
      </c>
      <c r="D148" s="5">
        <v>892512</v>
      </c>
      <c r="E148" s="5">
        <f t="shared" si="5"/>
        <v>280</v>
      </c>
      <c r="F148" s="5">
        <v>28966</v>
      </c>
      <c r="G148" s="5">
        <v>15933</v>
      </c>
      <c r="H148" s="5">
        <v>33698.410000000003</v>
      </c>
      <c r="I148" s="5">
        <v>0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</row>
    <row r="149" spans="1:15" x14ac:dyDescent="0.25">
      <c r="A149" t="s">
        <v>68</v>
      </c>
      <c r="B149" s="85">
        <v>45805</v>
      </c>
      <c r="C149" s="86">
        <f t="shared" si="4"/>
        <v>5</v>
      </c>
      <c r="D149" s="5">
        <v>892780</v>
      </c>
      <c r="E149" s="5">
        <f t="shared" si="5"/>
        <v>268</v>
      </c>
      <c r="F149" s="5">
        <v>15498</v>
      </c>
      <c r="G149" s="5">
        <v>11294</v>
      </c>
      <c r="H149" s="5">
        <v>0</v>
      </c>
      <c r="I149" s="5">
        <v>6810.73</v>
      </c>
      <c r="J149" s="88">
        <v>1800</v>
      </c>
      <c r="K149" s="88">
        <v>0</v>
      </c>
      <c r="L149" s="88">
        <v>46251</v>
      </c>
      <c r="M149" s="88">
        <v>15</v>
      </c>
      <c r="N149" s="88">
        <f>+L149/M149</f>
        <v>3083.4</v>
      </c>
      <c r="O149" s="89">
        <f>L149/(I149-J149-K149)</f>
        <v>9.2303915796700284</v>
      </c>
    </row>
    <row r="150" spans="1:15" x14ac:dyDescent="0.25">
      <c r="A150" t="s">
        <v>69</v>
      </c>
      <c r="B150" s="85">
        <v>45806</v>
      </c>
      <c r="C150" s="86">
        <f t="shared" si="4"/>
        <v>5</v>
      </c>
      <c r="D150" s="5">
        <v>893104</v>
      </c>
      <c r="E150" s="5">
        <f t="shared" si="5"/>
        <v>324</v>
      </c>
      <c r="F150" s="5">
        <v>25576</v>
      </c>
      <c r="G150" s="5">
        <v>14030</v>
      </c>
      <c r="H150" s="5">
        <v>35315.550000000003</v>
      </c>
      <c r="I150" s="5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</row>
    <row r="151" spans="1:15" x14ac:dyDescent="0.25">
      <c r="A151" t="s">
        <v>70</v>
      </c>
      <c r="B151" s="85">
        <v>45807</v>
      </c>
      <c r="C151" s="86">
        <f t="shared" si="4"/>
        <v>5</v>
      </c>
      <c r="D151" s="5">
        <v>893592</v>
      </c>
      <c r="E151" s="5">
        <f t="shared" si="5"/>
        <v>488</v>
      </c>
      <c r="F151" s="5">
        <v>11141</v>
      </c>
      <c r="G151" s="5">
        <v>10520</v>
      </c>
      <c r="H151" s="5">
        <v>0</v>
      </c>
      <c r="I151" s="5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</row>
    <row r="152" spans="1:15" x14ac:dyDescent="0.25">
      <c r="A152" t="s">
        <v>71</v>
      </c>
      <c r="B152" s="85">
        <v>45808</v>
      </c>
      <c r="C152" s="86">
        <f t="shared" si="4"/>
        <v>5</v>
      </c>
      <c r="D152" s="90">
        <v>893892</v>
      </c>
      <c r="E152" s="5">
        <f t="shared" si="5"/>
        <v>300</v>
      </c>
      <c r="F152" s="5">
        <v>3338</v>
      </c>
      <c r="G152" s="5">
        <v>6701</v>
      </c>
      <c r="H152" s="5">
        <v>0</v>
      </c>
      <c r="I152" s="5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</row>
    <row r="153" spans="1:15" x14ac:dyDescent="0.25">
      <c r="A153" t="s">
        <v>72</v>
      </c>
      <c r="B153" s="85">
        <v>45809</v>
      </c>
      <c r="C153" s="86">
        <f t="shared" si="4"/>
        <v>6</v>
      </c>
      <c r="D153" s="87">
        <v>893892</v>
      </c>
      <c r="E153" s="5">
        <f t="shared" si="5"/>
        <v>0</v>
      </c>
      <c r="F153" s="5">
        <v>1289</v>
      </c>
      <c r="G153" s="5">
        <v>5985</v>
      </c>
      <c r="H153" s="5">
        <v>0</v>
      </c>
      <c r="I153" s="5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</row>
    <row r="154" spans="1:15" x14ac:dyDescent="0.25">
      <c r="A154" t="s">
        <v>73</v>
      </c>
      <c r="B154" s="85">
        <v>45810</v>
      </c>
      <c r="C154" s="86">
        <f t="shared" si="4"/>
        <v>6</v>
      </c>
      <c r="D154" s="5">
        <v>894385</v>
      </c>
      <c r="E154" s="5">
        <f t="shared" si="5"/>
        <v>493</v>
      </c>
      <c r="F154" s="5">
        <v>30055</v>
      </c>
      <c r="G154" s="5">
        <v>13950</v>
      </c>
      <c r="H154" s="5">
        <v>28345.95</v>
      </c>
      <c r="I154" s="5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</row>
    <row r="155" spans="1:15" x14ac:dyDescent="0.25">
      <c r="A155" t="s">
        <v>74</v>
      </c>
      <c r="B155" s="85">
        <v>45811</v>
      </c>
      <c r="C155" s="86">
        <f t="shared" si="4"/>
        <v>6</v>
      </c>
      <c r="D155" s="5">
        <v>894465</v>
      </c>
      <c r="E155" s="5">
        <f t="shared" si="5"/>
        <v>80</v>
      </c>
      <c r="F155" s="5">
        <v>4638</v>
      </c>
      <c r="G155" s="5">
        <v>8345</v>
      </c>
      <c r="H155" s="5">
        <v>0</v>
      </c>
      <c r="I155" s="5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</row>
    <row r="156" spans="1:15" x14ac:dyDescent="0.25">
      <c r="A156" t="s">
        <v>68</v>
      </c>
      <c r="B156" s="85">
        <v>45812</v>
      </c>
      <c r="C156" s="86">
        <f t="shared" si="4"/>
        <v>6</v>
      </c>
      <c r="D156" s="5">
        <v>894941</v>
      </c>
      <c r="E156" s="5">
        <f t="shared" si="5"/>
        <v>476</v>
      </c>
      <c r="F156" s="5">
        <v>31010</v>
      </c>
      <c r="G156" s="5">
        <v>14285</v>
      </c>
      <c r="H156" s="5">
        <v>33996.76</v>
      </c>
      <c r="I156" s="5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</row>
    <row r="157" spans="1:15" x14ac:dyDescent="0.25">
      <c r="A157" t="s">
        <v>69</v>
      </c>
      <c r="B157" s="85">
        <v>45813</v>
      </c>
      <c r="C157" s="86">
        <f t="shared" si="4"/>
        <v>6</v>
      </c>
      <c r="D157" s="5">
        <v>895237</v>
      </c>
      <c r="E157" s="5">
        <f t="shared" si="5"/>
        <v>296</v>
      </c>
      <c r="F157" s="5">
        <v>12403</v>
      </c>
      <c r="G157" s="5">
        <v>10416</v>
      </c>
      <c r="H157" s="5">
        <v>0</v>
      </c>
      <c r="I157" s="5">
        <v>3345.0499999999997</v>
      </c>
      <c r="J157" s="88">
        <v>700</v>
      </c>
      <c r="K157" s="88">
        <v>0</v>
      </c>
      <c r="L157" s="88">
        <v>19400</v>
      </c>
      <c r="M157" s="88">
        <v>6</v>
      </c>
      <c r="N157" s="88">
        <f>+L157/M157</f>
        <v>3233.3333333333335</v>
      </c>
      <c r="O157" s="89">
        <f>L157/(I157-J157-K157)</f>
        <v>7.3344549252377087</v>
      </c>
    </row>
    <row r="158" spans="1:15" x14ac:dyDescent="0.25">
      <c r="A158" t="s">
        <v>70</v>
      </c>
      <c r="B158" s="85">
        <v>45814</v>
      </c>
      <c r="C158" s="86">
        <f t="shared" si="4"/>
        <v>6</v>
      </c>
      <c r="D158" s="5">
        <v>895689</v>
      </c>
      <c r="E158" s="5">
        <f t="shared" si="5"/>
        <v>452</v>
      </c>
      <c r="F158" s="5">
        <v>28349</v>
      </c>
      <c r="G158" s="5">
        <v>14575</v>
      </c>
      <c r="H158" s="5">
        <v>35721.680000000008</v>
      </c>
      <c r="I158" s="5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</row>
    <row r="159" spans="1:15" x14ac:dyDescent="0.25">
      <c r="A159" t="s">
        <v>71</v>
      </c>
      <c r="B159" s="85">
        <v>45815</v>
      </c>
      <c r="C159" s="86">
        <f t="shared" si="4"/>
        <v>6</v>
      </c>
      <c r="D159" s="5">
        <v>895689</v>
      </c>
      <c r="E159" s="5">
        <f t="shared" si="5"/>
        <v>0</v>
      </c>
      <c r="F159" s="5">
        <v>2967</v>
      </c>
      <c r="G159" s="5">
        <v>9525</v>
      </c>
      <c r="H159" s="5">
        <v>0</v>
      </c>
      <c r="I159" s="5">
        <v>0</v>
      </c>
      <c r="J159" s="88">
        <v>0</v>
      </c>
      <c r="K159" s="88">
        <v>0</v>
      </c>
      <c r="L159" s="88">
        <v>0</v>
      </c>
      <c r="M159" s="88">
        <v>0</v>
      </c>
      <c r="N159" s="88">
        <v>0</v>
      </c>
      <c r="O159" s="88">
        <v>0</v>
      </c>
    </row>
    <row r="160" spans="1:15" x14ac:dyDescent="0.25">
      <c r="A160" t="s">
        <v>72</v>
      </c>
      <c r="B160" s="85">
        <v>45816</v>
      </c>
      <c r="C160" s="86">
        <f t="shared" si="4"/>
        <v>6</v>
      </c>
      <c r="D160" s="5">
        <v>895878</v>
      </c>
      <c r="E160" s="5">
        <f t="shared" si="5"/>
        <v>189</v>
      </c>
      <c r="F160" s="5">
        <v>1249</v>
      </c>
      <c r="G160" s="5">
        <v>5295</v>
      </c>
      <c r="H160" s="5">
        <v>0</v>
      </c>
      <c r="I160" s="5">
        <v>0</v>
      </c>
      <c r="J160" s="88">
        <v>0</v>
      </c>
      <c r="K160" s="88">
        <v>0</v>
      </c>
      <c r="L160" s="88">
        <v>0</v>
      </c>
      <c r="M160" s="88">
        <v>0</v>
      </c>
      <c r="N160" s="88">
        <v>0</v>
      </c>
      <c r="O160" s="88">
        <v>0</v>
      </c>
    </row>
    <row r="161" spans="1:15" x14ac:dyDescent="0.25">
      <c r="A161" t="s">
        <v>73</v>
      </c>
      <c r="B161" s="85">
        <v>45817</v>
      </c>
      <c r="C161" s="86">
        <f t="shared" si="4"/>
        <v>6</v>
      </c>
      <c r="D161" s="5">
        <v>896263</v>
      </c>
      <c r="E161" s="5">
        <f t="shared" si="5"/>
        <v>385</v>
      </c>
      <c r="F161" s="5">
        <v>31874</v>
      </c>
      <c r="G161" s="5">
        <v>14489</v>
      </c>
      <c r="H161" s="5">
        <v>34644.29</v>
      </c>
      <c r="I161" s="5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</row>
    <row r="162" spans="1:15" x14ac:dyDescent="0.25">
      <c r="A162" t="s">
        <v>74</v>
      </c>
      <c r="B162" s="85">
        <v>45818</v>
      </c>
      <c r="C162" s="86">
        <f t="shared" si="4"/>
        <v>6</v>
      </c>
      <c r="D162" s="5">
        <v>896507</v>
      </c>
      <c r="E162" s="5">
        <f t="shared" si="5"/>
        <v>244</v>
      </c>
      <c r="F162" s="5">
        <v>13934</v>
      </c>
      <c r="G162" s="5">
        <v>12100</v>
      </c>
      <c r="H162" s="5">
        <v>0</v>
      </c>
      <c r="I162" s="5">
        <v>7390.66</v>
      </c>
      <c r="J162" s="88">
        <v>1700</v>
      </c>
      <c r="K162" s="88">
        <v>0</v>
      </c>
      <c r="L162" s="88">
        <v>46700</v>
      </c>
      <c r="M162" s="88">
        <v>15</v>
      </c>
      <c r="N162" s="88">
        <f>+L162/M162</f>
        <v>3113.3333333333335</v>
      </c>
      <c r="O162" s="89">
        <f>L162/(I162-J162-K162)</f>
        <v>8.2064294826962083</v>
      </c>
    </row>
    <row r="163" spans="1:15" x14ac:dyDescent="0.25">
      <c r="A163" t="s">
        <v>68</v>
      </c>
      <c r="B163" s="85">
        <v>45819</v>
      </c>
      <c r="C163" s="86">
        <f t="shared" si="4"/>
        <v>6</v>
      </c>
      <c r="D163" s="5">
        <v>896765</v>
      </c>
      <c r="E163" s="5">
        <f t="shared" si="5"/>
        <v>258</v>
      </c>
      <c r="F163" s="5">
        <v>25451</v>
      </c>
      <c r="G163" s="5">
        <v>14484</v>
      </c>
      <c r="H163" s="5">
        <v>33947.4</v>
      </c>
      <c r="I163" s="5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</row>
    <row r="164" spans="1:15" x14ac:dyDescent="0.25">
      <c r="A164" t="s">
        <v>69</v>
      </c>
      <c r="B164" s="85">
        <v>45820</v>
      </c>
      <c r="C164" s="86">
        <f t="shared" si="4"/>
        <v>6</v>
      </c>
      <c r="D164" s="5">
        <v>897074</v>
      </c>
      <c r="E164" s="5">
        <f t="shared" si="5"/>
        <v>309</v>
      </c>
      <c r="F164" s="5">
        <v>14869</v>
      </c>
      <c r="G164" s="5">
        <v>10794</v>
      </c>
      <c r="H164" s="5">
        <v>0</v>
      </c>
      <c r="I164" s="5">
        <v>5996.5</v>
      </c>
      <c r="J164" s="88">
        <v>1250</v>
      </c>
      <c r="K164" s="88">
        <v>0</v>
      </c>
      <c r="L164" s="88">
        <v>35200</v>
      </c>
      <c r="M164" s="88">
        <v>11</v>
      </c>
      <c r="N164" s="88">
        <f>+L164/M164</f>
        <v>3200</v>
      </c>
      <c r="O164" s="89">
        <f>L164/(I164-J164-K164)</f>
        <v>7.4159907300115879</v>
      </c>
    </row>
    <row r="165" spans="1:15" x14ac:dyDescent="0.25">
      <c r="A165" t="s">
        <v>70</v>
      </c>
      <c r="B165" s="85">
        <v>45821</v>
      </c>
      <c r="C165" s="86">
        <f t="shared" si="4"/>
        <v>6</v>
      </c>
      <c r="D165" s="5">
        <v>897529</v>
      </c>
      <c r="E165" s="5">
        <f t="shared" si="5"/>
        <v>455</v>
      </c>
      <c r="F165" s="5">
        <v>24907</v>
      </c>
      <c r="G165" s="5">
        <v>15695</v>
      </c>
      <c r="H165" s="5">
        <v>38497.54</v>
      </c>
      <c r="I165" s="5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</row>
    <row r="166" spans="1:15" x14ac:dyDescent="0.25">
      <c r="A166" t="s">
        <v>71</v>
      </c>
      <c r="B166" s="85">
        <v>45822</v>
      </c>
      <c r="C166" s="86">
        <f t="shared" si="4"/>
        <v>6</v>
      </c>
      <c r="D166" s="5">
        <v>897898</v>
      </c>
      <c r="E166" s="5">
        <f t="shared" si="5"/>
        <v>369</v>
      </c>
      <c r="F166" s="5">
        <v>4360</v>
      </c>
      <c r="G166" s="5">
        <v>9405</v>
      </c>
      <c r="H166" s="5">
        <v>0</v>
      </c>
      <c r="I166" s="5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</row>
    <row r="167" spans="1:15" x14ac:dyDescent="0.25">
      <c r="A167" t="s">
        <v>72</v>
      </c>
      <c r="B167" s="85">
        <v>45823</v>
      </c>
      <c r="C167" s="86">
        <f t="shared" si="4"/>
        <v>6</v>
      </c>
      <c r="D167" s="5">
        <v>897898</v>
      </c>
      <c r="E167" s="5">
        <f t="shared" si="5"/>
        <v>0</v>
      </c>
      <c r="F167" s="5">
        <v>1259</v>
      </c>
      <c r="G167" s="5">
        <v>6012</v>
      </c>
      <c r="H167" s="5">
        <v>0</v>
      </c>
      <c r="I167" s="5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</row>
    <row r="168" spans="1:15" x14ac:dyDescent="0.25">
      <c r="A168" t="s">
        <v>73</v>
      </c>
      <c r="B168" s="85">
        <v>45824</v>
      </c>
      <c r="C168" s="86">
        <f t="shared" si="4"/>
        <v>6</v>
      </c>
      <c r="D168" s="5">
        <v>898355</v>
      </c>
      <c r="E168" s="5">
        <f t="shared" si="5"/>
        <v>457</v>
      </c>
      <c r="F168" s="5">
        <v>29509</v>
      </c>
      <c r="G168" s="5">
        <v>14619</v>
      </c>
      <c r="H168" s="5">
        <v>33879.340000000004</v>
      </c>
      <c r="I168" s="5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</row>
    <row r="169" spans="1:15" x14ac:dyDescent="0.25">
      <c r="A169" t="s">
        <v>74</v>
      </c>
      <c r="B169" s="85">
        <v>45825</v>
      </c>
      <c r="C169" s="86">
        <f t="shared" si="4"/>
        <v>6</v>
      </c>
      <c r="D169" s="5">
        <v>898652</v>
      </c>
      <c r="E169" s="5">
        <f t="shared" si="5"/>
        <v>297</v>
      </c>
      <c r="F169" s="5">
        <v>26046</v>
      </c>
      <c r="G169" s="5">
        <v>17362</v>
      </c>
      <c r="H169" s="5">
        <v>34437.01</v>
      </c>
      <c r="I169" s="5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</row>
    <row r="170" spans="1:15" x14ac:dyDescent="0.25">
      <c r="A170" t="s">
        <v>68</v>
      </c>
      <c r="B170" s="85">
        <v>45826</v>
      </c>
      <c r="C170" s="86">
        <f t="shared" si="4"/>
        <v>6</v>
      </c>
      <c r="D170" s="5">
        <v>898819</v>
      </c>
      <c r="E170" s="5">
        <f t="shared" si="5"/>
        <v>167</v>
      </c>
      <c r="F170" s="5">
        <v>13162</v>
      </c>
      <c r="G170" s="5">
        <v>12084</v>
      </c>
      <c r="H170" s="5">
        <v>0</v>
      </c>
      <c r="I170" s="5">
        <v>6969.5</v>
      </c>
      <c r="J170" s="88">
        <v>1700</v>
      </c>
      <c r="K170" s="88">
        <v>0</v>
      </c>
      <c r="L170" s="88">
        <v>46980</v>
      </c>
      <c r="M170" s="88">
        <v>15</v>
      </c>
      <c r="N170" s="88">
        <f>+L170/M170</f>
        <v>3132</v>
      </c>
      <c r="O170" s="89">
        <f>L170/(I170-J170-K170)</f>
        <v>8.915456874466269</v>
      </c>
    </row>
    <row r="171" spans="1:15" x14ac:dyDescent="0.25">
      <c r="A171" t="s">
        <v>69</v>
      </c>
      <c r="B171" s="85">
        <v>45827</v>
      </c>
      <c r="C171" s="86">
        <f t="shared" si="4"/>
        <v>6</v>
      </c>
      <c r="D171" s="5">
        <v>898995</v>
      </c>
      <c r="E171" s="5">
        <f t="shared" si="5"/>
        <v>176</v>
      </c>
      <c r="F171" s="5">
        <v>10793</v>
      </c>
      <c r="G171" s="5">
        <v>8447</v>
      </c>
      <c r="H171" s="5">
        <v>0</v>
      </c>
      <c r="I171" s="5">
        <v>0</v>
      </c>
      <c r="J171" s="88">
        <v>0</v>
      </c>
      <c r="K171" s="88">
        <v>0</v>
      </c>
      <c r="L171" s="88">
        <v>0</v>
      </c>
      <c r="M171" s="88">
        <v>0</v>
      </c>
      <c r="N171" s="88">
        <v>0</v>
      </c>
      <c r="O171" s="88">
        <v>0</v>
      </c>
    </row>
    <row r="172" spans="1:15" x14ac:dyDescent="0.25">
      <c r="A172" t="s">
        <v>70</v>
      </c>
      <c r="B172" s="85">
        <v>45828</v>
      </c>
      <c r="C172" s="86">
        <f t="shared" si="4"/>
        <v>6</v>
      </c>
      <c r="D172" s="5">
        <v>899400</v>
      </c>
      <c r="E172" s="5">
        <f t="shared" si="5"/>
        <v>405</v>
      </c>
      <c r="F172" s="5">
        <v>19517</v>
      </c>
      <c r="G172" s="5">
        <v>13962</v>
      </c>
      <c r="H172" s="5">
        <v>24011.56</v>
      </c>
      <c r="I172" s="5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</row>
    <row r="173" spans="1:15" x14ac:dyDescent="0.25">
      <c r="A173" t="s">
        <v>71</v>
      </c>
      <c r="B173" s="85">
        <v>45829</v>
      </c>
      <c r="C173" s="86">
        <f t="shared" si="4"/>
        <v>6</v>
      </c>
      <c r="D173" s="5">
        <v>899400</v>
      </c>
      <c r="E173" s="5">
        <f t="shared" si="5"/>
        <v>0</v>
      </c>
      <c r="F173" s="5">
        <v>542</v>
      </c>
      <c r="G173" s="5">
        <v>6490</v>
      </c>
      <c r="H173" s="5">
        <v>0</v>
      </c>
      <c r="I173" s="5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</row>
    <row r="174" spans="1:15" x14ac:dyDescent="0.25">
      <c r="A174" t="s">
        <v>72</v>
      </c>
      <c r="B174" s="85">
        <v>45830</v>
      </c>
      <c r="C174" s="86">
        <f t="shared" si="4"/>
        <v>6</v>
      </c>
      <c r="D174" s="5">
        <v>899434</v>
      </c>
      <c r="E174" s="5">
        <f t="shared" si="5"/>
        <v>34</v>
      </c>
      <c r="F174" s="5">
        <v>0</v>
      </c>
      <c r="G174" s="5">
        <v>4075</v>
      </c>
      <c r="H174" s="5">
        <v>0</v>
      </c>
      <c r="I174" s="5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</row>
    <row r="175" spans="1:15" x14ac:dyDescent="0.25">
      <c r="A175" t="s">
        <v>73</v>
      </c>
      <c r="B175" s="85">
        <v>45831</v>
      </c>
      <c r="C175" s="86">
        <f t="shared" si="4"/>
        <v>6</v>
      </c>
      <c r="D175" s="5">
        <v>899434</v>
      </c>
      <c r="E175" s="5">
        <f t="shared" si="5"/>
        <v>0</v>
      </c>
      <c r="F175" s="5">
        <v>5368</v>
      </c>
      <c r="G175" s="5">
        <v>5302</v>
      </c>
      <c r="H175" s="5">
        <v>0</v>
      </c>
      <c r="I175" s="5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</row>
    <row r="176" spans="1:15" x14ac:dyDescent="0.25">
      <c r="A176" t="s">
        <v>74</v>
      </c>
      <c r="B176" s="85">
        <v>45832</v>
      </c>
      <c r="C176" s="86">
        <f t="shared" si="4"/>
        <v>6</v>
      </c>
      <c r="D176" s="5">
        <v>899515</v>
      </c>
      <c r="E176" s="5">
        <f t="shared" si="5"/>
        <v>81</v>
      </c>
      <c r="F176" s="5">
        <v>5718</v>
      </c>
      <c r="G176" s="5">
        <v>5823</v>
      </c>
      <c r="H176" s="5">
        <v>0</v>
      </c>
      <c r="I176" s="5">
        <v>0</v>
      </c>
      <c r="J176" s="88">
        <v>0</v>
      </c>
      <c r="K176" s="88">
        <v>0</v>
      </c>
      <c r="L176" s="88">
        <v>0</v>
      </c>
      <c r="M176" s="88">
        <v>0</v>
      </c>
      <c r="N176" s="88">
        <v>0</v>
      </c>
      <c r="O176" s="88">
        <v>0</v>
      </c>
    </row>
    <row r="177" spans="1:15" x14ac:dyDescent="0.25">
      <c r="A177" t="s">
        <v>68</v>
      </c>
      <c r="B177" s="85">
        <v>45833</v>
      </c>
      <c r="C177" s="86">
        <f t="shared" si="4"/>
        <v>6</v>
      </c>
      <c r="D177" s="5">
        <v>899515</v>
      </c>
      <c r="E177" s="5">
        <f t="shared" si="5"/>
        <v>0</v>
      </c>
      <c r="F177" s="5">
        <v>4379</v>
      </c>
      <c r="G177" s="5">
        <v>5636</v>
      </c>
      <c r="H177" s="5">
        <v>0</v>
      </c>
      <c r="I177" s="5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</row>
    <row r="178" spans="1:15" x14ac:dyDescent="0.25">
      <c r="A178" t="s">
        <v>69</v>
      </c>
      <c r="B178" s="85">
        <v>45834</v>
      </c>
      <c r="C178" s="86">
        <f t="shared" si="4"/>
        <v>6</v>
      </c>
      <c r="D178" s="5">
        <v>899515</v>
      </c>
      <c r="E178" s="5">
        <f t="shared" si="5"/>
        <v>0</v>
      </c>
      <c r="F178" s="5">
        <v>0</v>
      </c>
      <c r="G178" s="5">
        <v>4916</v>
      </c>
      <c r="H178" s="5">
        <v>0</v>
      </c>
      <c r="I178" s="5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</row>
    <row r="179" spans="1:15" x14ac:dyDescent="0.25">
      <c r="A179" t="s">
        <v>70</v>
      </c>
      <c r="B179" s="85">
        <v>45835</v>
      </c>
      <c r="C179" s="86">
        <f t="shared" si="4"/>
        <v>6</v>
      </c>
      <c r="D179" s="5">
        <v>899515</v>
      </c>
      <c r="E179" s="5">
        <f t="shared" si="5"/>
        <v>0</v>
      </c>
      <c r="F179" s="5">
        <v>0</v>
      </c>
      <c r="G179" s="5">
        <v>4941</v>
      </c>
      <c r="H179" s="5">
        <v>0</v>
      </c>
      <c r="I179" s="5">
        <v>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</row>
    <row r="180" spans="1:15" x14ac:dyDescent="0.25">
      <c r="A180" t="s">
        <v>71</v>
      </c>
      <c r="B180" s="85">
        <v>45836</v>
      </c>
      <c r="C180" s="86">
        <f t="shared" si="4"/>
        <v>6</v>
      </c>
      <c r="D180" s="5">
        <v>899515</v>
      </c>
      <c r="E180" s="5">
        <f t="shared" si="5"/>
        <v>0</v>
      </c>
      <c r="F180" s="5">
        <v>0</v>
      </c>
      <c r="G180" s="5">
        <v>4840</v>
      </c>
      <c r="H180" s="5">
        <v>0</v>
      </c>
      <c r="I180" s="5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</row>
    <row r="181" spans="1:15" x14ac:dyDescent="0.25">
      <c r="A181" t="s">
        <v>72</v>
      </c>
      <c r="B181" s="85">
        <v>45837</v>
      </c>
      <c r="C181" s="86">
        <f t="shared" si="4"/>
        <v>6</v>
      </c>
      <c r="D181" s="5">
        <v>899965</v>
      </c>
      <c r="E181" s="5">
        <f t="shared" si="5"/>
        <v>450</v>
      </c>
      <c r="F181" s="5">
        <v>589</v>
      </c>
      <c r="G181" s="5">
        <v>4806</v>
      </c>
      <c r="H181" s="5">
        <v>0</v>
      </c>
      <c r="I181" s="5">
        <v>0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</row>
    <row r="182" spans="1:15" x14ac:dyDescent="0.25">
      <c r="A182" t="s">
        <v>73</v>
      </c>
      <c r="B182" s="85">
        <v>45838</v>
      </c>
      <c r="C182" s="86">
        <f t="shared" si="4"/>
        <v>6</v>
      </c>
      <c r="D182" s="90">
        <v>900282</v>
      </c>
      <c r="E182" s="5">
        <f t="shared" si="5"/>
        <v>317</v>
      </c>
      <c r="F182" s="5">
        <v>13420</v>
      </c>
      <c r="G182" s="5">
        <v>7828</v>
      </c>
      <c r="H182" s="5">
        <v>0</v>
      </c>
      <c r="I182" s="5">
        <v>0</v>
      </c>
      <c r="J182" s="88">
        <v>0</v>
      </c>
      <c r="K182" s="88">
        <v>0</v>
      </c>
      <c r="L182" s="88">
        <v>0</v>
      </c>
      <c r="M182" s="88">
        <v>0</v>
      </c>
      <c r="N182" s="88">
        <v>0</v>
      </c>
      <c r="O182" s="88">
        <v>0</v>
      </c>
    </row>
    <row r="183" spans="1:15" x14ac:dyDescent="0.25">
      <c r="A183" t="s">
        <v>74</v>
      </c>
      <c r="B183" s="85">
        <v>45839</v>
      </c>
      <c r="C183" s="86">
        <f t="shared" si="4"/>
        <v>7</v>
      </c>
      <c r="D183" s="87">
        <v>900410</v>
      </c>
      <c r="E183" s="5">
        <f t="shared" si="5"/>
        <v>128</v>
      </c>
      <c r="F183" s="5">
        <v>11886</v>
      </c>
      <c r="G183" s="5">
        <v>7805</v>
      </c>
      <c r="H183" s="5">
        <v>0</v>
      </c>
      <c r="I183" s="5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</row>
    <row r="184" spans="1:15" x14ac:dyDescent="0.25">
      <c r="A184" t="s">
        <v>68</v>
      </c>
      <c r="B184" s="85">
        <v>45840</v>
      </c>
      <c r="C184" s="86">
        <f t="shared" si="4"/>
        <v>7</v>
      </c>
      <c r="D184" s="5">
        <v>900657</v>
      </c>
      <c r="E184" s="5">
        <f t="shared" si="5"/>
        <v>247</v>
      </c>
      <c r="F184" s="5">
        <v>21736</v>
      </c>
      <c r="G184" s="5">
        <v>13022</v>
      </c>
      <c r="H184" s="5">
        <v>35113.4</v>
      </c>
      <c r="I184" s="5">
        <v>0</v>
      </c>
      <c r="J184" s="88">
        <v>0</v>
      </c>
      <c r="K184" s="88">
        <v>0</v>
      </c>
      <c r="L184" s="88">
        <v>0</v>
      </c>
      <c r="M184" s="88">
        <v>0</v>
      </c>
      <c r="N184" s="88">
        <v>0</v>
      </c>
      <c r="O184" s="88">
        <v>0</v>
      </c>
    </row>
    <row r="185" spans="1:15" x14ac:dyDescent="0.25">
      <c r="A185" t="s">
        <v>69</v>
      </c>
      <c r="B185" s="85">
        <v>45841</v>
      </c>
      <c r="C185" s="86">
        <f t="shared" si="4"/>
        <v>7</v>
      </c>
      <c r="D185" s="5">
        <v>900862</v>
      </c>
      <c r="E185" s="5">
        <f t="shared" si="5"/>
        <v>205</v>
      </c>
      <c r="F185" s="5">
        <v>10079</v>
      </c>
      <c r="G185" s="5">
        <v>10907</v>
      </c>
      <c r="H185" s="5">
        <v>0</v>
      </c>
      <c r="I185" s="5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</row>
    <row r="186" spans="1:15" x14ac:dyDescent="0.25">
      <c r="A186" t="s">
        <v>70</v>
      </c>
      <c r="B186" s="85">
        <v>45842</v>
      </c>
      <c r="C186" s="86">
        <f t="shared" si="4"/>
        <v>7</v>
      </c>
      <c r="D186" s="5">
        <v>901143</v>
      </c>
      <c r="E186" s="5">
        <f t="shared" si="5"/>
        <v>281</v>
      </c>
      <c r="F186" s="5">
        <v>21642</v>
      </c>
      <c r="G186" s="5">
        <v>14863</v>
      </c>
      <c r="H186" s="5">
        <v>33113.020000000004</v>
      </c>
      <c r="I186" s="5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</row>
    <row r="187" spans="1:15" x14ac:dyDescent="0.25">
      <c r="A187" t="s">
        <v>71</v>
      </c>
      <c r="B187" s="85">
        <v>45843</v>
      </c>
      <c r="C187" s="86">
        <f t="shared" si="4"/>
        <v>7</v>
      </c>
      <c r="D187" s="5">
        <v>901143</v>
      </c>
      <c r="E187" s="5">
        <f t="shared" si="5"/>
        <v>0</v>
      </c>
      <c r="F187" s="5">
        <v>6469</v>
      </c>
      <c r="G187" s="5">
        <v>10093</v>
      </c>
      <c r="H187" s="5">
        <v>0</v>
      </c>
      <c r="I187" s="5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</row>
    <row r="188" spans="1:15" x14ac:dyDescent="0.25">
      <c r="A188" t="s">
        <v>72</v>
      </c>
      <c r="B188" s="85">
        <v>45844</v>
      </c>
      <c r="C188" s="86">
        <f t="shared" si="4"/>
        <v>7</v>
      </c>
      <c r="D188" s="5">
        <v>901635</v>
      </c>
      <c r="E188" s="5">
        <f t="shared" si="5"/>
        <v>492</v>
      </c>
      <c r="F188" s="5">
        <v>721</v>
      </c>
      <c r="G188" s="5">
        <v>6667</v>
      </c>
      <c r="H188" s="5">
        <v>0</v>
      </c>
      <c r="I188" s="5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</row>
    <row r="189" spans="1:15" x14ac:dyDescent="0.25">
      <c r="A189" t="s">
        <v>73</v>
      </c>
      <c r="B189" s="85">
        <v>45845</v>
      </c>
      <c r="C189" s="86">
        <f t="shared" si="4"/>
        <v>7</v>
      </c>
      <c r="D189" s="5">
        <v>902080</v>
      </c>
      <c r="E189" s="5">
        <f t="shared" si="5"/>
        <v>445</v>
      </c>
      <c r="F189" s="5">
        <v>28440</v>
      </c>
      <c r="G189" s="5">
        <v>15110</v>
      </c>
      <c r="H189" s="5">
        <v>33803.760000000002</v>
      </c>
      <c r="I189" s="5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</row>
    <row r="190" spans="1:15" x14ac:dyDescent="0.25">
      <c r="A190" t="s">
        <v>74</v>
      </c>
      <c r="B190" s="85">
        <v>45846</v>
      </c>
      <c r="C190" s="86">
        <f t="shared" si="4"/>
        <v>7</v>
      </c>
      <c r="D190" s="5">
        <v>902295</v>
      </c>
      <c r="E190" s="5">
        <f t="shared" si="5"/>
        <v>215</v>
      </c>
      <c r="F190" s="5">
        <v>12123</v>
      </c>
      <c r="G190" s="5">
        <v>10237</v>
      </c>
      <c r="H190" s="5">
        <v>0</v>
      </c>
      <c r="I190" s="5">
        <v>5859.78</v>
      </c>
      <c r="J190" s="88">
        <v>1550</v>
      </c>
      <c r="K190" s="88">
        <v>0</v>
      </c>
      <c r="L190" s="88">
        <v>39820</v>
      </c>
      <c r="M190" s="88">
        <v>12</v>
      </c>
      <c r="N190" s="88">
        <f>+L190/M190</f>
        <v>3318.3333333333335</v>
      </c>
      <c r="O190" s="89">
        <f>L190/(I190-J190-K190)</f>
        <v>9.2394507376246597</v>
      </c>
    </row>
    <row r="191" spans="1:15" x14ac:dyDescent="0.25">
      <c r="A191" t="s">
        <v>68</v>
      </c>
      <c r="B191" s="85">
        <v>45847</v>
      </c>
      <c r="C191" s="86">
        <f t="shared" si="4"/>
        <v>7</v>
      </c>
      <c r="D191" s="5">
        <v>902550</v>
      </c>
      <c r="E191" s="5">
        <f t="shared" si="5"/>
        <v>255</v>
      </c>
      <c r="F191" s="5">
        <v>22496</v>
      </c>
      <c r="G191" s="5">
        <v>13810</v>
      </c>
      <c r="H191" s="5">
        <v>28222.120000000003</v>
      </c>
      <c r="I191" s="5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</row>
    <row r="192" spans="1:15" x14ac:dyDescent="0.25">
      <c r="A192" t="s">
        <v>69</v>
      </c>
      <c r="B192" s="85">
        <v>45848</v>
      </c>
      <c r="C192" s="86">
        <f t="shared" si="4"/>
        <v>7</v>
      </c>
      <c r="D192" s="5">
        <v>902758</v>
      </c>
      <c r="E192" s="5">
        <f t="shared" si="5"/>
        <v>208</v>
      </c>
      <c r="F192" s="5">
        <v>12030</v>
      </c>
      <c r="G192" s="5">
        <v>10430</v>
      </c>
      <c r="H192" s="5">
        <v>0</v>
      </c>
      <c r="I192" s="5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</row>
    <row r="193" spans="1:15" x14ac:dyDescent="0.25">
      <c r="A193" t="s">
        <v>70</v>
      </c>
      <c r="B193" s="85">
        <v>45849</v>
      </c>
      <c r="C193" s="86">
        <f t="shared" si="4"/>
        <v>7</v>
      </c>
      <c r="D193" s="5">
        <v>903092</v>
      </c>
      <c r="E193" s="5">
        <f t="shared" si="5"/>
        <v>334</v>
      </c>
      <c r="F193" s="5">
        <v>23047</v>
      </c>
      <c r="G193" s="5">
        <v>15766</v>
      </c>
      <c r="H193" s="5">
        <v>34571.31</v>
      </c>
      <c r="I193" s="5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</row>
    <row r="194" spans="1:15" x14ac:dyDescent="0.25">
      <c r="A194" t="s">
        <v>71</v>
      </c>
      <c r="B194" s="85">
        <v>45850</v>
      </c>
      <c r="C194" s="86">
        <f t="shared" si="4"/>
        <v>7</v>
      </c>
      <c r="D194" s="5">
        <v>903092</v>
      </c>
      <c r="E194" s="5">
        <f t="shared" si="5"/>
        <v>0</v>
      </c>
      <c r="F194" s="5">
        <v>3036</v>
      </c>
      <c r="G194" s="5">
        <v>7271</v>
      </c>
      <c r="H194" s="5">
        <v>0</v>
      </c>
      <c r="I194" s="5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</row>
    <row r="195" spans="1:15" x14ac:dyDescent="0.25">
      <c r="A195" t="s">
        <v>72</v>
      </c>
      <c r="B195" s="85">
        <v>45851</v>
      </c>
      <c r="C195" s="86">
        <f t="shared" ref="C195:C244" si="6">MONTH(B195)</f>
        <v>7</v>
      </c>
      <c r="D195" s="5">
        <v>903404</v>
      </c>
      <c r="E195" s="5">
        <f t="shared" ref="E195:E258" si="7">+D195-D194</f>
        <v>312</v>
      </c>
      <c r="F195" s="5">
        <v>1256</v>
      </c>
      <c r="G195" s="5">
        <v>5547</v>
      </c>
      <c r="H195" s="5">
        <v>0</v>
      </c>
      <c r="I195" s="5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</row>
    <row r="196" spans="1:15" x14ac:dyDescent="0.25">
      <c r="A196" t="s">
        <v>73</v>
      </c>
      <c r="B196" s="85">
        <v>45852</v>
      </c>
      <c r="C196" s="86">
        <f t="shared" si="6"/>
        <v>7</v>
      </c>
      <c r="D196" s="5">
        <v>903549</v>
      </c>
      <c r="E196" s="5">
        <f t="shared" si="7"/>
        <v>145</v>
      </c>
      <c r="F196" s="5">
        <v>12504</v>
      </c>
      <c r="G196" s="5">
        <v>7745</v>
      </c>
      <c r="H196" s="5">
        <v>0</v>
      </c>
      <c r="I196" s="5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</row>
    <row r="197" spans="1:15" x14ac:dyDescent="0.25">
      <c r="A197" t="s">
        <v>74</v>
      </c>
      <c r="B197" s="85">
        <v>45853</v>
      </c>
      <c r="C197" s="86">
        <f t="shared" si="6"/>
        <v>7</v>
      </c>
      <c r="D197" s="5">
        <v>903920</v>
      </c>
      <c r="E197" s="5">
        <f t="shared" si="7"/>
        <v>371</v>
      </c>
      <c r="F197" s="5">
        <v>22774</v>
      </c>
      <c r="G197" s="5">
        <v>13774</v>
      </c>
      <c r="H197" s="5">
        <v>33856.71</v>
      </c>
      <c r="I197" s="5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</row>
    <row r="198" spans="1:15" x14ac:dyDescent="0.25">
      <c r="A198" t="s">
        <v>68</v>
      </c>
      <c r="B198" s="85">
        <v>45854</v>
      </c>
      <c r="C198" s="86">
        <f t="shared" si="6"/>
        <v>7</v>
      </c>
      <c r="D198" s="5">
        <v>904296</v>
      </c>
      <c r="E198" s="5">
        <f t="shared" si="7"/>
        <v>376</v>
      </c>
      <c r="F198" s="5">
        <v>22326</v>
      </c>
      <c r="G198" s="5">
        <v>16685</v>
      </c>
      <c r="H198" s="5">
        <v>31276.720000000001</v>
      </c>
      <c r="I198" s="5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</row>
    <row r="199" spans="1:15" x14ac:dyDescent="0.25">
      <c r="A199" t="s">
        <v>69</v>
      </c>
      <c r="B199" s="85">
        <v>45855</v>
      </c>
      <c r="C199" s="86">
        <f t="shared" si="6"/>
        <v>7</v>
      </c>
      <c r="D199" s="5">
        <v>904492</v>
      </c>
      <c r="E199" s="5">
        <f t="shared" si="7"/>
        <v>196</v>
      </c>
      <c r="F199" s="5">
        <v>9931</v>
      </c>
      <c r="G199" s="5">
        <v>10609</v>
      </c>
      <c r="H199" s="5">
        <v>0</v>
      </c>
      <c r="I199" s="5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</row>
    <row r="200" spans="1:15" x14ac:dyDescent="0.25">
      <c r="A200" t="s">
        <v>70</v>
      </c>
      <c r="B200" s="85">
        <v>45856</v>
      </c>
      <c r="C200" s="86">
        <f t="shared" si="6"/>
        <v>7</v>
      </c>
      <c r="D200" s="5">
        <v>904928</v>
      </c>
      <c r="E200" s="5">
        <f t="shared" si="7"/>
        <v>436</v>
      </c>
      <c r="F200" s="5">
        <v>21359</v>
      </c>
      <c r="G200" s="5">
        <v>14448</v>
      </c>
      <c r="H200" s="5">
        <v>28169.77</v>
      </c>
      <c r="I200" s="5">
        <v>0</v>
      </c>
      <c r="J200" s="88">
        <v>0</v>
      </c>
      <c r="K200" s="88">
        <v>0</v>
      </c>
      <c r="L200" s="88">
        <v>0</v>
      </c>
      <c r="M200" s="88">
        <v>0</v>
      </c>
      <c r="N200" s="88">
        <v>0</v>
      </c>
      <c r="O200" s="88">
        <v>0</v>
      </c>
    </row>
    <row r="201" spans="1:15" x14ac:dyDescent="0.25">
      <c r="A201" t="s">
        <v>71</v>
      </c>
      <c r="B201" s="85">
        <v>45857</v>
      </c>
      <c r="C201" s="86">
        <f t="shared" si="6"/>
        <v>7</v>
      </c>
      <c r="D201" s="5">
        <v>904928</v>
      </c>
      <c r="E201" s="5">
        <f t="shared" si="7"/>
        <v>0</v>
      </c>
      <c r="F201" s="5">
        <v>1732</v>
      </c>
      <c r="G201" s="5">
        <v>6753</v>
      </c>
      <c r="H201" s="5">
        <v>0</v>
      </c>
      <c r="I201" s="5">
        <v>0</v>
      </c>
      <c r="J201" s="88">
        <v>0</v>
      </c>
      <c r="K201" s="88">
        <v>0</v>
      </c>
      <c r="L201" s="88">
        <v>0</v>
      </c>
      <c r="M201" s="88">
        <v>0</v>
      </c>
      <c r="N201" s="88">
        <v>0</v>
      </c>
      <c r="O201" s="88">
        <v>0</v>
      </c>
    </row>
    <row r="202" spans="1:15" x14ac:dyDescent="0.25">
      <c r="A202" t="s">
        <v>72</v>
      </c>
      <c r="B202" s="85">
        <v>45858</v>
      </c>
      <c r="C202" s="86">
        <f t="shared" si="6"/>
        <v>7</v>
      </c>
      <c r="D202" s="5">
        <v>904999</v>
      </c>
      <c r="E202" s="5">
        <f t="shared" si="7"/>
        <v>71</v>
      </c>
      <c r="F202" s="5">
        <v>1056</v>
      </c>
      <c r="G202" s="5">
        <v>4538</v>
      </c>
      <c r="H202" s="5">
        <v>0</v>
      </c>
      <c r="I202" s="5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</row>
    <row r="203" spans="1:15" x14ac:dyDescent="0.25">
      <c r="A203" t="s">
        <v>73</v>
      </c>
      <c r="B203" s="85">
        <v>45859</v>
      </c>
      <c r="C203" s="86">
        <f t="shared" si="6"/>
        <v>7</v>
      </c>
      <c r="D203" s="5">
        <v>905150</v>
      </c>
      <c r="E203" s="5">
        <f t="shared" si="7"/>
        <v>151</v>
      </c>
      <c r="F203" s="5">
        <v>13590</v>
      </c>
      <c r="G203" s="5">
        <v>9075</v>
      </c>
      <c r="H203" s="5">
        <v>0</v>
      </c>
      <c r="I203" s="5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</row>
    <row r="204" spans="1:15" x14ac:dyDescent="0.25">
      <c r="A204" t="s">
        <v>74</v>
      </c>
      <c r="B204" s="85">
        <v>45860</v>
      </c>
      <c r="C204" s="86">
        <f t="shared" si="6"/>
        <v>7</v>
      </c>
      <c r="D204" s="5">
        <v>905545</v>
      </c>
      <c r="E204" s="5">
        <f t="shared" si="7"/>
        <v>395</v>
      </c>
      <c r="F204" s="5">
        <v>22184</v>
      </c>
      <c r="G204" s="5">
        <v>14400</v>
      </c>
      <c r="H204" s="5">
        <v>28714.26</v>
      </c>
      <c r="I204" s="5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</row>
    <row r="205" spans="1:15" x14ac:dyDescent="0.25">
      <c r="A205" t="s">
        <v>68</v>
      </c>
      <c r="B205" s="85">
        <v>45861</v>
      </c>
      <c r="C205" s="86">
        <f t="shared" si="6"/>
        <v>7</v>
      </c>
      <c r="D205" s="5">
        <v>905739</v>
      </c>
      <c r="E205" s="5">
        <f t="shared" si="7"/>
        <v>194</v>
      </c>
      <c r="F205" s="5">
        <v>13636</v>
      </c>
      <c r="G205" s="5">
        <v>10177</v>
      </c>
      <c r="H205" s="5">
        <v>0</v>
      </c>
      <c r="I205" s="5">
        <v>0</v>
      </c>
      <c r="J205" s="88">
        <v>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</row>
    <row r="206" spans="1:15" x14ac:dyDescent="0.25">
      <c r="A206" t="s">
        <v>69</v>
      </c>
      <c r="B206" s="85">
        <v>45862</v>
      </c>
      <c r="C206" s="86">
        <f t="shared" si="6"/>
        <v>7</v>
      </c>
      <c r="D206" s="5">
        <v>906017</v>
      </c>
      <c r="E206" s="5">
        <f t="shared" si="7"/>
        <v>278</v>
      </c>
      <c r="F206" s="5">
        <v>25259</v>
      </c>
      <c r="G206" s="5">
        <v>13861</v>
      </c>
      <c r="H206" s="5">
        <v>30619.14</v>
      </c>
      <c r="I206" s="5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</row>
    <row r="207" spans="1:15" x14ac:dyDescent="0.25">
      <c r="A207" t="s">
        <v>70</v>
      </c>
      <c r="B207" s="85">
        <v>45863</v>
      </c>
      <c r="C207" s="86">
        <f t="shared" si="6"/>
        <v>7</v>
      </c>
      <c r="D207" s="5">
        <v>906330</v>
      </c>
      <c r="E207" s="5">
        <f t="shared" si="7"/>
        <v>313</v>
      </c>
      <c r="F207" s="5">
        <v>12007</v>
      </c>
      <c r="G207" s="5">
        <v>9160</v>
      </c>
      <c r="H207" s="5">
        <v>0</v>
      </c>
      <c r="I207" s="5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</row>
    <row r="208" spans="1:15" x14ac:dyDescent="0.25">
      <c r="A208" t="s">
        <v>71</v>
      </c>
      <c r="B208" s="85">
        <v>45864</v>
      </c>
      <c r="C208" s="86">
        <f t="shared" si="6"/>
        <v>7</v>
      </c>
      <c r="D208" s="5">
        <v>906330</v>
      </c>
      <c r="E208" s="5">
        <f t="shared" si="7"/>
        <v>0</v>
      </c>
      <c r="F208" s="5">
        <v>2886</v>
      </c>
      <c r="G208" s="5">
        <v>6496</v>
      </c>
      <c r="H208" s="5">
        <v>0</v>
      </c>
      <c r="I208" s="5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</row>
    <row r="209" spans="1:15" x14ac:dyDescent="0.25">
      <c r="A209" t="s">
        <v>72</v>
      </c>
      <c r="B209" s="85">
        <v>45865</v>
      </c>
      <c r="C209" s="86">
        <f t="shared" si="6"/>
        <v>7</v>
      </c>
      <c r="D209" s="5">
        <v>906388</v>
      </c>
      <c r="E209" s="5">
        <f t="shared" si="7"/>
        <v>58</v>
      </c>
      <c r="F209" s="5">
        <v>1293</v>
      </c>
      <c r="G209" s="5">
        <v>5971</v>
      </c>
      <c r="H209" s="5">
        <v>0</v>
      </c>
      <c r="I209" s="5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</row>
    <row r="210" spans="1:15" x14ac:dyDescent="0.25">
      <c r="A210" t="s">
        <v>73</v>
      </c>
      <c r="B210" s="85">
        <v>45866</v>
      </c>
      <c r="C210" s="86">
        <f t="shared" si="6"/>
        <v>7</v>
      </c>
      <c r="D210" s="5">
        <v>906832</v>
      </c>
      <c r="E210" s="5">
        <f t="shared" si="7"/>
        <v>444</v>
      </c>
      <c r="F210" s="5">
        <v>28960</v>
      </c>
      <c r="G210" s="5">
        <v>14518</v>
      </c>
      <c r="H210" s="5">
        <v>29216.510000000002</v>
      </c>
      <c r="I210" s="5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</row>
    <row r="211" spans="1:15" x14ac:dyDescent="0.25">
      <c r="A211" t="s">
        <v>74</v>
      </c>
      <c r="B211" s="85">
        <v>45867</v>
      </c>
      <c r="C211" s="86">
        <f t="shared" si="6"/>
        <v>7</v>
      </c>
      <c r="D211" s="5">
        <v>907007</v>
      </c>
      <c r="E211" s="5">
        <f t="shared" si="7"/>
        <v>175</v>
      </c>
      <c r="F211" s="5">
        <v>11047</v>
      </c>
      <c r="G211" s="5">
        <v>9384</v>
      </c>
      <c r="H211" s="5">
        <v>0</v>
      </c>
      <c r="I211" s="5">
        <v>5049.3500000000004</v>
      </c>
      <c r="J211" s="88">
        <v>500</v>
      </c>
      <c r="K211" s="88">
        <v>640</v>
      </c>
      <c r="L211" s="88">
        <v>30620</v>
      </c>
      <c r="M211" s="88">
        <v>10</v>
      </c>
      <c r="N211" s="88">
        <f>+L211/M211</f>
        <v>3062</v>
      </c>
      <c r="O211" s="89">
        <f>L211/(I211-J211-K211)</f>
        <v>7.8325041247266158</v>
      </c>
    </row>
    <row r="212" spans="1:15" x14ac:dyDescent="0.25">
      <c r="A212" t="s">
        <v>68</v>
      </c>
      <c r="B212" s="85">
        <v>45868</v>
      </c>
      <c r="C212" s="86">
        <f t="shared" si="6"/>
        <v>7</v>
      </c>
      <c r="D212" s="5">
        <v>907179</v>
      </c>
      <c r="E212" s="5">
        <f t="shared" si="7"/>
        <v>172</v>
      </c>
      <c r="F212" s="5">
        <v>12173</v>
      </c>
      <c r="G212" s="5">
        <v>8829</v>
      </c>
      <c r="H212" s="5">
        <v>0</v>
      </c>
      <c r="I212" s="5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</row>
    <row r="213" spans="1:15" x14ac:dyDescent="0.25">
      <c r="A213" t="s">
        <v>69</v>
      </c>
      <c r="B213" s="91">
        <v>45869</v>
      </c>
      <c r="C213" s="86">
        <f t="shared" si="6"/>
        <v>7</v>
      </c>
      <c r="D213" s="5">
        <v>907464</v>
      </c>
      <c r="E213" s="5">
        <f t="shared" si="7"/>
        <v>285</v>
      </c>
      <c r="F213" s="5">
        <v>25658</v>
      </c>
      <c r="G213" s="5">
        <v>14094</v>
      </c>
      <c r="H213" s="5">
        <v>32991.699999999997</v>
      </c>
      <c r="I213" s="5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</row>
    <row r="214" spans="1:15" x14ac:dyDescent="0.25">
      <c r="A214" t="s">
        <v>70</v>
      </c>
      <c r="B214" s="92">
        <v>45870</v>
      </c>
      <c r="C214" s="86">
        <f t="shared" si="6"/>
        <v>8</v>
      </c>
      <c r="D214" s="5">
        <v>907741</v>
      </c>
      <c r="E214" s="5">
        <f t="shared" si="7"/>
        <v>277</v>
      </c>
      <c r="F214">
        <v>8901</v>
      </c>
      <c r="G214" s="5">
        <v>9779</v>
      </c>
      <c r="H214" s="5">
        <v>0</v>
      </c>
      <c r="I214" s="5">
        <v>0</v>
      </c>
      <c r="J214" s="88">
        <v>0</v>
      </c>
      <c r="K214" s="88">
        <v>0</v>
      </c>
      <c r="L214" s="88">
        <v>0</v>
      </c>
      <c r="M214" s="88">
        <v>0</v>
      </c>
      <c r="N214" s="88">
        <v>0</v>
      </c>
      <c r="O214" s="88">
        <v>0</v>
      </c>
    </row>
    <row r="215" spans="1:15" x14ac:dyDescent="0.25">
      <c r="A215" t="s">
        <v>71</v>
      </c>
      <c r="B215" s="85">
        <v>45871</v>
      </c>
      <c r="C215" s="86">
        <f t="shared" si="6"/>
        <v>8</v>
      </c>
      <c r="D215" s="5">
        <v>907741</v>
      </c>
      <c r="E215" s="5">
        <f t="shared" si="7"/>
        <v>0</v>
      </c>
      <c r="F215">
        <v>2338</v>
      </c>
      <c r="G215" s="5">
        <v>6018</v>
      </c>
      <c r="H215" s="5">
        <v>0</v>
      </c>
      <c r="I215" s="5">
        <v>0</v>
      </c>
      <c r="J215" s="88">
        <v>0</v>
      </c>
      <c r="K215" s="88">
        <v>0</v>
      </c>
      <c r="L215" s="88">
        <v>0</v>
      </c>
      <c r="M215" s="88">
        <v>0</v>
      </c>
      <c r="N215" s="88">
        <v>0</v>
      </c>
      <c r="O215" s="88">
        <v>0</v>
      </c>
    </row>
    <row r="216" spans="1:15" x14ac:dyDescent="0.25">
      <c r="A216" t="s">
        <v>72</v>
      </c>
      <c r="B216" s="85">
        <v>45872</v>
      </c>
      <c r="C216" s="86">
        <f t="shared" si="6"/>
        <v>8</v>
      </c>
      <c r="D216" s="5">
        <v>907792</v>
      </c>
      <c r="E216" s="5">
        <f t="shared" si="7"/>
        <v>51</v>
      </c>
      <c r="F216">
        <v>1288</v>
      </c>
      <c r="G216" s="5">
        <v>5531</v>
      </c>
      <c r="H216" s="5">
        <v>0</v>
      </c>
      <c r="I216" s="5">
        <v>0</v>
      </c>
      <c r="J216" s="88">
        <v>0</v>
      </c>
      <c r="K216" s="88">
        <v>0</v>
      </c>
      <c r="L216" s="88">
        <v>0</v>
      </c>
      <c r="M216" s="88">
        <v>0</v>
      </c>
      <c r="N216" s="88">
        <v>0</v>
      </c>
      <c r="O216" s="88">
        <v>0</v>
      </c>
    </row>
    <row r="217" spans="1:15" x14ac:dyDescent="0.25">
      <c r="A217" t="s">
        <v>73</v>
      </c>
      <c r="B217" s="85">
        <v>45873</v>
      </c>
      <c r="C217" s="86">
        <f t="shared" si="6"/>
        <v>8</v>
      </c>
      <c r="D217" s="5">
        <v>908132</v>
      </c>
      <c r="E217" s="5">
        <f t="shared" si="7"/>
        <v>340</v>
      </c>
      <c r="F217" s="5">
        <v>28775</v>
      </c>
      <c r="G217" s="5">
        <v>15603</v>
      </c>
      <c r="H217" s="5">
        <v>32353.65</v>
      </c>
      <c r="I217" s="5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</row>
    <row r="218" spans="1:15" x14ac:dyDescent="0.25">
      <c r="A218" t="s">
        <v>74</v>
      </c>
      <c r="B218" s="85">
        <v>45874</v>
      </c>
      <c r="C218" s="86">
        <f t="shared" si="6"/>
        <v>8</v>
      </c>
      <c r="D218" s="5">
        <v>908394</v>
      </c>
      <c r="E218" s="5">
        <f t="shared" si="7"/>
        <v>262</v>
      </c>
      <c r="F218" s="5">
        <v>11587</v>
      </c>
      <c r="G218" s="5">
        <v>9918</v>
      </c>
      <c r="H218" s="5">
        <v>0</v>
      </c>
      <c r="I218" s="5">
        <v>7153.67</v>
      </c>
      <c r="J218" s="88">
        <v>1420</v>
      </c>
      <c r="K218" s="88">
        <v>322</v>
      </c>
      <c r="L218" s="88">
        <v>44040</v>
      </c>
      <c r="M218" s="88">
        <v>14</v>
      </c>
      <c r="N218" s="88">
        <f>+L218/M218</f>
        <v>3145.7142857142858</v>
      </c>
      <c r="O218" s="89">
        <f>L218/(I218-J218-K218)</f>
        <v>8.1379685014052967</v>
      </c>
    </row>
    <row r="219" spans="1:15" x14ac:dyDescent="0.25">
      <c r="A219" t="s">
        <v>68</v>
      </c>
      <c r="B219" s="85">
        <v>45875</v>
      </c>
      <c r="C219" s="86">
        <f t="shared" si="6"/>
        <v>8</v>
      </c>
      <c r="D219" s="5">
        <v>908626</v>
      </c>
      <c r="E219" s="5">
        <f t="shared" si="7"/>
        <v>232</v>
      </c>
      <c r="F219" s="5">
        <v>9698</v>
      </c>
      <c r="G219" s="5">
        <v>8328</v>
      </c>
      <c r="H219" s="5">
        <v>0</v>
      </c>
      <c r="I219" s="5">
        <v>0</v>
      </c>
      <c r="J219" s="88">
        <v>0</v>
      </c>
      <c r="K219" s="88">
        <v>0</v>
      </c>
      <c r="L219" s="88">
        <v>0</v>
      </c>
      <c r="M219" s="88">
        <v>0</v>
      </c>
      <c r="N219" s="88">
        <v>0</v>
      </c>
      <c r="O219" s="88">
        <v>0</v>
      </c>
    </row>
    <row r="220" spans="1:15" x14ac:dyDescent="0.25">
      <c r="A220" t="s">
        <v>69</v>
      </c>
      <c r="B220" s="85">
        <v>45876</v>
      </c>
      <c r="C220" s="86">
        <f t="shared" si="6"/>
        <v>8</v>
      </c>
      <c r="D220" s="5">
        <v>908953</v>
      </c>
      <c r="E220" s="5">
        <f t="shared" si="7"/>
        <v>327</v>
      </c>
      <c r="F220" s="5">
        <v>24645</v>
      </c>
      <c r="G220" s="5">
        <v>13749</v>
      </c>
      <c r="H220" s="5">
        <v>31303.5</v>
      </c>
      <c r="I220" s="5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</row>
    <row r="221" spans="1:15" x14ac:dyDescent="0.25">
      <c r="A221" t="s">
        <v>70</v>
      </c>
      <c r="B221" s="85">
        <v>45877</v>
      </c>
      <c r="C221" s="86">
        <f t="shared" si="6"/>
        <v>8</v>
      </c>
      <c r="D221" s="5">
        <v>909205</v>
      </c>
      <c r="E221" s="5">
        <f t="shared" si="7"/>
        <v>252</v>
      </c>
      <c r="F221" s="5">
        <v>8312</v>
      </c>
      <c r="G221" s="5">
        <v>10768</v>
      </c>
      <c r="H221" s="5">
        <v>0</v>
      </c>
      <c r="I221" s="5">
        <v>0</v>
      </c>
      <c r="J221" s="88">
        <v>0</v>
      </c>
      <c r="K221" s="88">
        <v>0</v>
      </c>
      <c r="L221" s="88">
        <v>0</v>
      </c>
      <c r="M221" s="88">
        <v>0</v>
      </c>
      <c r="N221" s="88">
        <v>0</v>
      </c>
      <c r="O221" s="88">
        <v>0</v>
      </c>
    </row>
    <row r="222" spans="1:15" x14ac:dyDescent="0.25">
      <c r="A222" t="s">
        <v>71</v>
      </c>
      <c r="B222" s="85">
        <v>45878</v>
      </c>
      <c r="C222" s="86">
        <f t="shared" si="6"/>
        <v>8</v>
      </c>
      <c r="D222" s="5">
        <v>909267</v>
      </c>
      <c r="E222" s="5">
        <f t="shared" si="7"/>
        <v>62</v>
      </c>
      <c r="F222" s="5">
        <v>1602</v>
      </c>
      <c r="G222" s="5">
        <v>6365</v>
      </c>
      <c r="H222" s="5">
        <v>0</v>
      </c>
      <c r="I222" s="5">
        <v>0</v>
      </c>
      <c r="J222" s="88">
        <v>0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</row>
    <row r="223" spans="1:15" x14ac:dyDescent="0.25">
      <c r="A223" t="s">
        <v>72</v>
      </c>
      <c r="B223" s="85">
        <v>45879</v>
      </c>
      <c r="C223" s="86">
        <f t="shared" si="6"/>
        <v>8</v>
      </c>
      <c r="D223" s="5">
        <v>909267</v>
      </c>
      <c r="E223" s="5">
        <f t="shared" si="7"/>
        <v>0</v>
      </c>
      <c r="F223" s="5">
        <v>801</v>
      </c>
      <c r="G223" s="5">
        <v>5956</v>
      </c>
      <c r="H223" s="5">
        <v>0</v>
      </c>
      <c r="I223" s="5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</row>
    <row r="224" spans="1:15" x14ac:dyDescent="0.25">
      <c r="A224" t="s">
        <v>73</v>
      </c>
      <c r="B224" s="85">
        <v>45880</v>
      </c>
      <c r="C224" s="86">
        <f t="shared" si="6"/>
        <v>8</v>
      </c>
      <c r="D224" s="5">
        <v>909746</v>
      </c>
      <c r="E224" s="5">
        <f t="shared" si="7"/>
        <v>479</v>
      </c>
      <c r="F224" s="5">
        <v>25803</v>
      </c>
      <c r="G224" s="5">
        <v>14024</v>
      </c>
      <c r="H224" s="5">
        <v>28785.73</v>
      </c>
      <c r="I224" s="5">
        <v>0</v>
      </c>
      <c r="J224" s="88">
        <v>0</v>
      </c>
      <c r="K224" s="88">
        <v>0</v>
      </c>
      <c r="L224" s="88">
        <v>0</v>
      </c>
      <c r="M224" s="88">
        <v>0</v>
      </c>
      <c r="N224" s="88">
        <v>0</v>
      </c>
      <c r="O224" s="88">
        <v>0</v>
      </c>
    </row>
    <row r="225" spans="1:15" x14ac:dyDescent="0.25">
      <c r="A225" t="s">
        <v>74</v>
      </c>
      <c r="B225" s="85">
        <v>45881</v>
      </c>
      <c r="C225" s="86">
        <f t="shared" si="6"/>
        <v>8</v>
      </c>
      <c r="D225" s="5">
        <v>909841</v>
      </c>
      <c r="E225" s="5">
        <f t="shared" si="7"/>
        <v>95</v>
      </c>
      <c r="F225" s="5">
        <v>7972</v>
      </c>
      <c r="G225" s="5">
        <v>9709</v>
      </c>
      <c r="H225" s="5">
        <v>0</v>
      </c>
      <c r="I225" s="5">
        <v>0</v>
      </c>
      <c r="J225" s="88">
        <v>0</v>
      </c>
      <c r="K225" s="88">
        <v>0</v>
      </c>
      <c r="L225" s="88">
        <v>0</v>
      </c>
      <c r="M225" s="88">
        <v>0</v>
      </c>
      <c r="N225" s="88">
        <v>0</v>
      </c>
      <c r="O225" s="88">
        <v>0</v>
      </c>
    </row>
    <row r="226" spans="1:15" x14ac:dyDescent="0.25">
      <c r="A226" t="s">
        <v>68</v>
      </c>
      <c r="B226" s="85">
        <v>45882</v>
      </c>
      <c r="C226" s="86">
        <f t="shared" si="6"/>
        <v>8</v>
      </c>
      <c r="D226" s="5">
        <v>910216</v>
      </c>
      <c r="E226" s="5">
        <f t="shared" si="7"/>
        <v>375</v>
      </c>
      <c r="F226" s="5">
        <v>20303</v>
      </c>
      <c r="G226" s="5">
        <v>12249</v>
      </c>
      <c r="H226" s="5">
        <v>24668.5</v>
      </c>
      <c r="I226" s="5">
        <v>0</v>
      </c>
      <c r="J226" s="88">
        <v>0</v>
      </c>
      <c r="K226" s="88">
        <v>0</v>
      </c>
      <c r="L226" s="88">
        <v>0</v>
      </c>
      <c r="M226" s="88">
        <v>0</v>
      </c>
      <c r="N226" s="88">
        <v>0</v>
      </c>
      <c r="O226" s="88">
        <v>0</v>
      </c>
    </row>
    <row r="227" spans="1:15" x14ac:dyDescent="0.25">
      <c r="A227" t="s">
        <v>69</v>
      </c>
      <c r="B227" s="85">
        <v>45883</v>
      </c>
      <c r="C227" s="86">
        <f t="shared" si="6"/>
        <v>8</v>
      </c>
      <c r="D227" s="5">
        <v>910360</v>
      </c>
      <c r="E227" s="5">
        <f t="shared" si="7"/>
        <v>144</v>
      </c>
      <c r="F227" s="5">
        <v>9396</v>
      </c>
      <c r="G227" s="5">
        <v>9318</v>
      </c>
      <c r="H227" s="5">
        <v>0</v>
      </c>
      <c r="I227" s="5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</row>
    <row r="228" spans="1:15" x14ac:dyDescent="0.25">
      <c r="A228" t="s">
        <v>70</v>
      </c>
      <c r="B228" s="85">
        <v>45884</v>
      </c>
      <c r="C228" s="86">
        <f t="shared" si="6"/>
        <v>8</v>
      </c>
      <c r="D228" s="5">
        <v>910418</v>
      </c>
      <c r="E228" s="5">
        <f t="shared" si="7"/>
        <v>58</v>
      </c>
      <c r="F228" s="5">
        <v>9233</v>
      </c>
      <c r="G228" s="5">
        <v>6273</v>
      </c>
      <c r="H228" s="5">
        <v>0</v>
      </c>
      <c r="I228" s="5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</row>
    <row r="229" spans="1:15" x14ac:dyDescent="0.25">
      <c r="A229" t="s">
        <v>71</v>
      </c>
      <c r="B229" s="85">
        <v>45885</v>
      </c>
      <c r="C229" s="86">
        <f t="shared" si="6"/>
        <v>8</v>
      </c>
      <c r="D229" s="5">
        <v>910487</v>
      </c>
      <c r="E229" s="5">
        <f t="shared" si="7"/>
        <v>69</v>
      </c>
      <c r="F229" s="5">
        <v>3054</v>
      </c>
      <c r="G229" s="5">
        <v>5961</v>
      </c>
      <c r="H229" s="5">
        <v>0</v>
      </c>
      <c r="I229" s="5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</row>
    <row r="230" spans="1:15" x14ac:dyDescent="0.25">
      <c r="A230" t="s">
        <v>72</v>
      </c>
      <c r="B230" s="85">
        <v>45886</v>
      </c>
      <c r="C230" s="86">
        <f t="shared" si="6"/>
        <v>8</v>
      </c>
      <c r="D230" s="5">
        <v>910487</v>
      </c>
      <c r="E230" s="5">
        <f t="shared" si="7"/>
        <v>0</v>
      </c>
      <c r="F230" s="5">
        <v>770</v>
      </c>
      <c r="G230" s="5">
        <v>6431</v>
      </c>
      <c r="H230" s="5">
        <v>0</v>
      </c>
      <c r="I230" s="5">
        <v>0</v>
      </c>
      <c r="J230" s="88">
        <v>0</v>
      </c>
      <c r="K230" s="88">
        <v>0</v>
      </c>
      <c r="L230" s="88">
        <v>0</v>
      </c>
      <c r="M230" s="88">
        <v>0</v>
      </c>
      <c r="N230" s="88">
        <v>0</v>
      </c>
      <c r="O230" s="88">
        <v>0</v>
      </c>
    </row>
    <row r="231" spans="1:15" x14ac:dyDescent="0.25">
      <c r="A231" t="s">
        <v>73</v>
      </c>
      <c r="B231" s="85">
        <v>45887</v>
      </c>
      <c r="C231" s="86">
        <f t="shared" si="6"/>
        <v>8</v>
      </c>
      <c r="D231" s="5">
        <v>910893</v>
      </c>
      <c r="E231" s="5">
        <f t="shared" si="7"/>
        <v>406</v>
      </c>
      <c r="F231" s="5">
        <v>26541</v>
      </c>
      <c r="G231" s="5">
        <v>15515</v>
      </c>
      <c r="H231" s="5">
        <v>34587.949999999997</v>
      </c>
      <c r="I231" s="5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</row>
    <row r="232" spans="1:15" x14ac:dyDescent="0.25">
      <c r="A232" t="s">
        <v>74</v>
      </c>
      <c r="B232" s="85">
        <v>45888</v>
      </c>
      <c r="C232" s="86">
        <f t="shared" si="6"/>
        <v>8</v>
      </c>
      <c r="D232" s="5">
        <v>911111</v>
      </c>
      <c r="E232" s="5">
        <f t="shared" si="7"/>
        <v>218</v>
      </c>
      <c r="F232" s="5">
        <v>11410</v>
      </c>
      <c r="G232" s="5">
        <v>10076</v>
      </c>
      <c r="H232" s="5">
        <v>0</v>
      </c>
      <c r="I232" s="5">
        <v>6794.19</v>
      </c>
      <c r="J232" s="88">
        <v>1700</v>
      </c>
      <c r="K232" s="88">
        <v>0</v>
      </c>
      <c r="L232" s="88">
        <v>43700</v>
      </c>
      <c r="M232" s="88">
        <v>13</v>
      </c>
      <c r="N232" s="88">
        <f>+L232/M232</f>
        <v>3361.5384615384614</v>
      </c>
      <c r="O232" s="89">
        <f>L232/(I232-J232-K232)</f>
        <v>8.578400098936239</v>
      </c>
    </row>
    <row r="233" spans="1:15" x14ac:dyDescent="0.25">
      <c r="A233" t="s">
        <v>68</v>
      </c>
      <c r="B233" s="85">
        <v>45889</v>
      </c>
      <c r="C233" s="86">
        <f t="shared" si="6"/>
        <v>8</v>
      </c>
      <c r="D233" s="5">
        <v>911231</v>
      </c>
      <c r="E233" s="5">
        <f t="shared" si="7"/>
        <v>120</v>
      </c>
      <c r="F233" s="5">
        <v>9834</v>
      </c>
      <c r="G233" s="5">
        <v>7869</v>
      </c>
      <c r="H233" s="5">
        <v>0</v>
      </c>
      <c r="I233" s="5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</row>
    <row r="234" spans="1:15" x14ac:dyDescent="0.25">
      <c r="A234" t="s">
        <v>69</v>
      </c>
      <c r="B234" s="85">
        <v>45890</v>
      </c>
      <c r="C234" s="86">
        <f t="shared" si="6"/>
        <v>8</v>
      </c>
      <c r="D234" s="5">
        <v>911684</v>
      </c>
      <c r="E234" s="5">
        <f t="shared" si="7"/>
        <v>453</v>
      </c>
      <c r="F234" s="5">
        <v>23131</v>
      </c>
      <c r="G234" s="5">
        <v>13298</v>
      </c>
      <c r="H234" s="5">
        <v>32324.52</v>
      </c>
      <c r="I234" s="5">
        <v>0</v>
      </c>
      <c r="J234" s="88">
        <v>0</v>
      </c>
      <c r="K234" s="88">
        <v>0</v>
      </c>
      <c r="L234" s="88">
        <v>0</v>
      </c>
      <c r="M234" s="88">
        <v>0</v>
      </c>
      <c r="N234" s="88">
        <v>0</v>
      </c>
      <c r="O234" s="88">
        <v>0</v>
      </c>
    </row>
    <row r="235" spans="1:15" x14ac:dyDescent="0.25">
      <c r="A235" t="s">
        <v>70</v>
      </c>
      <c r="B235" s="85">
        <v>45891</v>
      </c>
      <c r="C235" s="86">
        <f t="shared" si="6"/>
        <v>8</v>
      </c>
      <c r="D235" s="5">
        <v>911776</v>
      </c>
      <c r="E235" s="5">
        <f t="shared" si="7"/>
        <v>92</v>
      </c>
      <c r="F235" s="5">
        <v>9191</v>
      </c>
      <c r="G235" s="5">
        <v>8521</v>
      </c>
      <c r="H235" s="5">
        <v>0</v>
      </c>
      <c r="I235" s="5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</row>
    <row r="236" spans="1:15" x14ac:dyDescent="0.25">
      <c r="A236" t="s">
        <v>71</v>
      </c>
      <c r="B236" s="85">
        <v>45892</v>
      </c>
      <c r="C236" s="86">
        <f t="shared" si="6"/>
        <v>8</v>
      </c>
      <c r="D236" s="5">
        <v>911875</v>
      </c>
      <c r="E236" s="5">
        <f t="shared" si="7"/>
        <v>99</v>
      </c>
      <c r="F236" s="5">
        <v>3025</v>
      </c>
      <c r="G236" s="5">
        <v>5634</v>
      </c>
      <c r="H236" s="5">
        <v>0</v>
      </c>
      <c r="I236" s="5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</row>
    <row r="237" spans="1:15" x14ac:dyDescent="0.25">
      <c r="A237" t="s">
        <v>72</v>
      </c>
      <c r="B237" s="85">
        <v>45893</v>
      </c>
      <c r="C237" s="86">
        <f t="shared" si="6"/>
        <v>8</v>
      </c>
      <c r="D237" s="5">
        <v>911875</v>
      </c>
      <c r="E237" s="5">
        <f t="shared" si="7"/>
        <v>0</v>
      </c>
      <c r="F237" s="5">
        <v>1472</v>
      </c>
      <c r="G237" s="5">
        <v>5421</v>
      </c>
      <c r="H237" s="5">
        <v>0</v>
      </c>
      <c r="I237" s="5">
        <v>0</v>
      </c>
      <c r="J237" s="88">
        <v>0</v>
      </c>
      <c r="K237" s="88">
        <v>0</v>
      </c>
      <c r="L237" s="88">
        <v>0</v>
      </c>
      <c r="M237" s="88">
        <v>0</v>
      </c>
      <c r="N237" s="88">
        <v>0</v>
      </c>
      <c r="O237" s="88">
        <v>0</v>
      </c>
    </row>
    <row r="238" spans="1:15" x14ac:dyDescent="0.25">
      <c r="A238" t="s">
        <v>73</v>
      </c>
      <c r="B238" s="85">
        <v>45894</v>
      </c>
      <c r="C238" s="86">
        <f t="shared" si="6"/>
        <v>8</v>
      </c>
      <c r="D238" s="5">
        <v>912004</v>
      </c>
      <c r="E238" s="5">
        <f t="shared" si="7"/>
        <v>129</v>
      </c>
      <c r="F238" s="5">
        <v>12697</v>
      </c>
      <c r="G238" s="5">
        <v>7693</v>
      </c>
      <c r="H238" s="5">
        <v>0</v>
      </c>
      <c r="I238" s="5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</row>
    <row r="239" spans="1:15" x14ac:dyDescent="0.25">
      <c r="A239" t="s">
        <v>74</v>
      </c>
      <c r="B239" s="85">
        <v>45895</v>
      </c>
      <c r="C239" s="86">
        <f t="shared" si="6"/>
        <v>8</v>
      </c>
      <c r="D239" s="5">
        <v>912267</v>
      </c>
      <c r="E239" s="5">
        <f t="shared" si="7"/>
        <v>263</v>
      </c>
      <c r="F239" s="5">
        <v>23186</v>
      </c>
      <c r="G239" s="5">
        <v>14317</v>
      </c>
      <c r="H239" s="5">
        <v>37148.19</v>
      </c>
      <c r="I239" s="5">
        <v>0</v>
      </c>
      <c r="J239" s="88">
        <v>0</v>
      </c>
      <c r="K239" s="88">
        <v>0</v>
      </c>
      <c r="L239" s="88">
        <v>0</v>
      </c>
      <c r="M239" s="88">
        <v>0</v>
      </c>
      <c r="N239" s="88">
        <v>0</v>
      </c>
      <c r="O239" s="88">
        <v>0</v>
      </c>
    </row>
    <row r="240" spans="1:15" x14ac:dyDescent="0.25">
      <c r="A240" t="s">
        <v>68</v>
      </c>
      <c r="B240" s="85">
        <v>45896</v>
      </c>
      <c r="C240" s="86">
        <f t="shared" si="6"/>
        <v>8</v>
      </c>
      <c r="D240" s="5">
        <v>912519</v>
      </c>
      <c r="E240" s="5">
        <f t="shared" si="7"/>
        <v>252</v>
      </c>
      <c r="F240" s="5">
        <v>8909</v>
      </c>
      <c r="G240" s="5">
        <v>10273</v>
      </c>
      <c r="H240" s="5">
        <v>0</v>
      </c>
      <c r="I240" s="5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</row>
    <row r="241" spans="1:15" x14ac:dyDescent="0.25">
      <c r="A241" t="s">
        <v>69</v>
      </c>
      <c r="B241" s="85">
        <v>45897</v>
      </c>
      <c r="C241" s="86">
        <f t="shared" si="6"/>
        <v>8</v>
      </c>
      <c r="D241" s="5">
        <v>912939</v>
      </c>
      <c r="E241" s="5">
        <f t="shared" si="7"/>
        <v>420</v>
      </c>
      <c r="F241" s="5">
        <v>23860</v>
      </c>
      <c r="G241" s="5">
        <v>13589</v>
      </c>
      <c r="H241" s="5">
        <v>33636</v>
      </c>
      <c r="I241" s="5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</row>
    <row r="242" spans="1:15" x14ac:dyDescent="0.25">
      <c r="A242" t="s">
        <v>70</v>
      </c>
      <c r="B242" s="85">
        <v>45898</v>
      </c>
      <c r="C242" s="86">
        <f t="shared" si="6"/>
        <v>8</v>
      </c>
      <c r="D242" s="5">
        <v>913136</v>
      </c>
      <c r="E242" s="5">
        <f t="shared" si="7"/>
        <v>197</v>
      </c>
      <c r="F242" s="5">
        <v>9809</v>
      </c>
      <c r="G242" s="5">
        <v>9926</v>
      </c>
      <c r="H242" s="5">
        <v>0</v>
      </c>
      <c r="I242" s="5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</row>
    <row r="243" spans="1:15" x14ac:dyDescent="0.25">
      <c r="A243" t="s">
        <v>71</v>
      </c>
      <c r="B243" s="85">
        <v>45899</v>
      </c>
      <c r="C243" s="86">
        <f t="shared" si="6"/>
        <v>8</v>
      </c>
      <c r="D243" s="5">
        <v>913181</v>
      </c>
      <c r="E243" s="5">
        <f t="shared" si="7"/>
        <v>45</v>
      </c>
      <c r="F243" s="5">
        <v>2731</v>
      </c>
      <c r="G243" s="5">
        <v>5695</v>
      </c>
      <c r="H243" s="5">
        <v>0</v>
      </c>
      <c r="I243" s="5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</row>
    <row r="244" spans="1:15" x14ac:dyDescent="0.25">
      <c r="A244" t="s">
        <v>72</v>
      </c>
      <c r="B244" s="91">
        <v>45900</v>
      </c>
      <c r="C244" s="86">
        <f t="shared" si="6"/>
        <v>8</v>
      </c>
      <c r="D244" s="5">
        <v>913181</v>
      </c>
      <c r="E244" s="5">
        <f t="shared" si="7"/>
        <v>0</v>
      </c>
      <c r="F244" s="5">
        <v>1317</v>
      </c>
      <c r="G244" s="5">
        <v>5446</v>
      </c>
      <c r="H244" s="5">
        <v>0</v>
      </c>
      <c r="I244" s="5">
        <v>0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</row>
    <row r="245" spans="1:15" x14ac:dyDescent="0.25">
      <c r="A245" t="s">
        <v>73</v>
      </c>
      <c r="B245" s="92">
        <v>45901</v>
      </c>
      <c r="C245">
        <v>9</v>
      </c>
      <c r="D245" s="5">
        <v>913326</v>
      </c>
      <c r="E245" s="5">
        <f t="shared" si="7"/>
        <v>145</v>
      </c>
      <c r="F245" s="5">
        <v>14770</v>
      </c>
      <c r="G245" s="5">
        <v>7151</v>
      </c>
      <c r="H245" s="5">
        <v>0</v>
      </c>
      <c r="I245" s="5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</row>
    <row r="246" spans="1:15" x14ac:dyDescent="0.25">
      <c r="A246" t="s">
        <v>74</v>
      </c>
      <c r="B246" s="85">
        <v>45902</v>
      </c>
      <c r="C246">
        <v>9</v>
      </c>
      <c r="D246" s="5">
        <v>913585</v>
      </c>
      <c r="E246" s="5">
        <f t="shared" si="7"/>
        <v>259</v>
      </c>
      <c r="F246" s="5">
        <v>22922</v>
      </c>
      <c r="G246" s="5">
        <v>13265</v>
      </c>
      <c r="H246" s="5">
        <v>24232.6</v>
      </c>
      <c r="I246" s="5">
        <v>0</v>
      </c>
      <c r="J246" s="88">
        <v>0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</row>
    <row r="247" spans="1:15" x14ac:dyDescent="0.25">
      <c r="A247" t="s">
        <v>68</v>
      </c>
      <c r="B247" s="85">
        <v>45903</v>
      </c>
      <c r="C247">
        <v>9</v>
      </c>
      <c r="D247" s="5">
        <v>913786</v>
      </c>
      <c r="E247" s="5">
        <f t="shared" si="7"/>
        <v>201</v>
      </c>
      <c r="F247" s="5">
        <v>11938</v>
      </c>
      <c r="G247" s="5">
        <v>7941</v>
      </c>
      <c r="H247" s="5">
        <v>0</v>
      </c>
      <c r="I247" s="5">
        <v>4666.07</v>
      </c>
      <c r="J247" s="88">
        <v>1150</v>
      </c>
      <c r="K247" s="88">
        <v>300</v>
      </c>
      <c r="L247" s="88">
        <v>34150</v>
      </c>
      <c r="M247" s="88">
        <v>11</v>
      </c>
      <c r="N247" s="88">
        <f>+L247/M247</f>
        <v>3104.5454545454545</v>
      </c>
      <c r="O247" s="89">
        <f>L247/(I247-J247-K247)</f>
        <v>10.618549969372559</v>
      </c>
    </row>
    <row r="248" spans="1:15" x14ac:dyDescent="0.25">
      <c r="A248" t="s">
        <v>69</v>
      </c>
      <c r="B248" s="85">
        <v>45904</v>
      </c>
      <c r="C248">
        <v>9</v>
      </c>
      <c r="D248" s="5">
        <v>914051</v>
      </c>
      <c r="E248" s="5">
        <f t="shared" si="7"/>
        <v>265</v>
      </c>
      <c r="F248" s="5">
        <v>22869</v>
      </c>
      <c r="G248" s="5">
        <v>12689</v>
      </c>
      <c r="H248" s="5">
        <v>26557.140000000003</v>
      </c>
      <c r="I248" s="5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</row>
    <row r="249" spans="1:15" x14ac:dyDescent="0.25">
      <c r="A249" t="s">
        <v>70</v>
      </c>
      <c r="B249" s="85">
        <v>45905</v>
      </c>
      <c r="C249">
        <v>9</v>
      </c>
      <c r="D249" s="5">
        <v>914400</v>
      </c>
      <c r="E249" s="5">
        <f t="shared" si="7"/>
        <v>349</v>
      </c>
      <c r="F249" s="5">
        <v>8573</v>
      </c>
      <c r="G249" s="5">
        <v>8627</v>
      </c>
      <c r="H249" s="5">
        <v>0</v>
      </c>
      <c r="I249" s="5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</row>
    <row r="250" spans="1:15" x14ac:dyDescent="0.25">
      <c r="A250" t="s">
        <v>71</v>
      </c>
      <c r="B250" s="85">
        <v>45906</v>
      </c>
      <c r="C250">
        <v>9</v>
      </c>
      <c r="D250" s="5">
        <v>914453</v>
      </c>
      <c r="E250" s="5">
        <f t="shared" si="7"/>
        <v>53</v>
      </c>
      <c r="F250" s="5">
        <v>1080</v>
      </c>
      <c r="G250" s="5">
        <v>5658</v>
      </c>
      <c r="H250" s="5">
        <v>0</v>
      </c>
      <c r="I250" s="5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</row>
    <row r="251" spans="1:15" x14ac:dyDescent="0.25">
      <c r="A251" t="s">
        <v>72</v>
      </c>
      <c r="B251" s="85">
        <v>45907</v>
      </c>
      <c r="C251">
        <v>9</v>
      </c>
      <c r="D251" s="5">
        <v>914453</v>
      </c>
      <c r="E251" s="5">
        <f t="shared" si="7"/>
        <v>0</v>
      </c>
      <c r="F251" s="5">
        <v>1019</v>
      </c>
      <c r="G251" s="5">
        <v>5308</v>
      </c>
      <c r="H251" s="5">
        <v>0</v>
      </c>
      <c r="I251" s="5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</row>
    <row r="252" spans="1:15" x14ac:dyDescent="0.25">
      <c r="A252" t="s">
        <v>73</v>
      </c>
      <c r="B252" s="85">
        <v>45908</v>
      </c>
      <c r="C252">
        <v>9</v>
      </c>
      <c r="D252" s="5">
        <v>914616</v>
      </c>
      <c r="E252" s="5">
        <f t="shared" si="7"/>
        <v>163</v>
      </c>
      <c r="F252" s="5">
        <v>15500</v>
      </c>
      <c r="G252" s="5">
        <v>7427</v>
      </c>
      <c r="H252" s="5">
        <v>0</v>
      </c>
      <c r="I252" s="5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</row>
    <row r="253" spans="1:15" x14ac:dyDescent="0.25">
      <c r="A253" t="s">
        <v>74</v>
      </c>
      <c r="B253" s="85">
        <v>45909</v>
      </c>
      <c r="C253">
        <v>9</v>
      </c>
      <c r="D253" s="5">
        <v>914927</v>
      </c>
      <c r="E253" s="5">
        <f t="shared" si="7"/>
        <v>311</v>
      </c>
      <c r="F253" s="5">
        <v>23405</v>
      </c>
      <c r="G253" s="5">
        <v>13653</v>
      </c>
      <c r="H253" s="5">
        <v>26729.46</v>
      </c>
      <c r="I253" s="5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</row>
    <row r="254" spans="1:15" x14ac:dyDescent="0.25">
      <c r="A254" t="s">
        <v>68</v>
      </c>
      <c r="B254" s="85">
        <v>45910</v>
      </c>
      <c r="C254">
        <v>9</v>
      </c>
      <c r="D254" s="5">
        <v>915150</v>
      </c>
      <c r="E254" s="5">
        <f t="shared" si="7"/>
        <v>223</v>
      </c>
      <c r="F254" s="5">
        <v>10065</v>
      </c>
      <c r="G254" s="5">
        <v>8602</v>
      </c>
      <c r="H254" s="5">
        <v>0</v>
      </c>
      <c r="I254" s="5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</row>
    <row r="255" spans="1:15" x14ac:dyDescent="0.25">
      <c r="A255" t="s">
        <v>69</v>
      </c>
      <c r="B255" s="85">
        <v>45911</v>
      </c>
      <c r="C255">
        <v>9</v>
      </c>
      <c r="D255" s="5">
        <v>915420</v>
      </c>
      <c r="E255" s="5">
        <f t="shared" si="7"/>
        <v>270</v>
      </c>
      <c r="F255" s="5">
        <v>21543</v>
      </c>
      <c r="G255" s="5">
        <v>12120</v>
      </c>
      <c r="H255" s="5">
        <v>21693.129999999997</v>
      </c>
      <c r="I255" s="5">
        <v>0</v>
      </c>
      <c r="J255" s="88">
        <v>0</v>
      </c>
      <c r="K255" s="88">
        <v>0</v>
      </c>
      <c r="L255" s="88">
        <v>0</v>
      </c>
      <c r="M255" s="88">
        <v>0</v>
      </c>
      <c r="N255" s="88">
        <v>0</v>
      </c>
      <c r="O255" s="88">
        <v>0</v>
      </c>
    </row>
    <row r="256" spans="1:15" x14ac:dyDescent="0.25">
      <c r="A256" t="s">
        <v>70</v>
      </c>
      <c r="B256" s="85">
        <v>45912</v>
      </c>
      <c r="C256">
        <v>9</v>
      </c>
      <c r="D256" s="5">
        <v>915758</v>
      </c>
      <c r="E256" s="5">
        <f t="shared" si="7"/>
        <v>338</v>
      </c>
      <c r="F256" s="5">
        <v>11356</v>
      </c>
      <c r="G256" s="5">
        <v>9824</v>
      </c>
      <c r="H256" s="5">
        <v>0</v>
      </c>
      <c r="I256" s="5">
        <v>5810.79</v>
      </c>
      <c r="J256" s="88">
        <v>1050</v>
      </c>
      <c r="K256" s="88">
        <v>290</v>
      </c>
      <c r="L256" s="88">
        <v>37802</v>
      </c>
      <c r="M256" s="88">
        <v>12</v>
      </c>
      <c r="N256" s="88">
        <f>+L256/M256</f>
        <v>3150.1666666666665</v>
      </c>
      <c r="O256" s="89">
        <f>L256/(I256-J256-K256)</f>
        <v>8.4553289239709315</v>
      </c>
    </row>
    <row r="257" spans="1:15" x14ac:dyDescent="0.25">
      <c r="A257" t="s">
        <v>71</v>
      </c>
      <c r="B257" s="85">
        <v>45913</v>
      </c>
      <c r="C257">
        <v>9</v>
      </c>
      <c r="D257" s="5">
        <v>915808</v>
      </c>
      <c r="E257" s="5">
        <f t="shared" si="7"/>
        <v>50</v>
      </c>
      <c r="F257" s="5">
        <v>3278</v>
      </c>
      <c r="G257" s="5">
        <v>5486</v>
      </c>
      <c r="H257" s="5">
        <v>0</v>
      </c>
      <c r="I257" s="5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</row>
    <row r="258" spans="1:15" x14ac:dyDescent="0.25">
      <c r="A258" t="s">
        <v>72</v>
      </c>
      <c r="B258" s="85">
        <v>45914</v>
      </c>
      <c r="C258">
        <v>9</v>
      </c>
      <c r="D258" s="5">
        <v>915808</v>
      </c>
      <c r="E258" s="5">
        <f t="shared" si="7"/>
        <v>0</v>
      </c>
      <c r="F258" s="5">
        <v>1129</v>
      </c>
      <c r="G258" s="5">
        <v>5137</v>
      </c>
      <c r="H258" s="5">
        <v>0</v>
      </c>
      <c r="I258" s="5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</row>
    <row r="259" spans="1:15" x14ac:dyDescent="0.25">
      <c r="A259" t="s">
        <v>73</v>
      </c>
      <c r="B259" s="85">
        <v>45915</v>
      </c>
      <c r="C259">
        <v>9</v>
      </c>
      <c r="D259" s="5">
        <v>915835</v>
      </c>
      <c r="E259" s="5">
        <f t="shared" ref="E259:E322" si="8">+D259-D258</f>
        <v>27</v>
      </c>
      <c r="F259" s="5">
        <v>10339</v>
      </c>
      <c r="G259" s="5">
        <v>5858</v>
      </c>
      <c r="H259" s="5">
        <v>0</v>
      </c>
      <c r="I259" s="5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</row>
    <row r="260" spans="1:15" x14ac:dyDescent="0.25">
      <c r="A260" t="s">
        <v>74</v>
      </c>
      <c r="B260" s="85">
        <v>45916</v>
      </c>
      <c r="C260">
        <v>9</v>
      </c>
      <c r="D260" s="5">
        <v>916295</v>
      </c>
      <c r="E260" s="5">
        <f t="shared" si="8"/>
        <v>460</v>
      </c>
      <c r="F260" s="5">
        <v>23813</v>
      </c>
      <c r="G260" s="5">
        <v>13199</v>
      </c>
      <c r="H260" s="5">
        <v>27575.94</v>
      </c>
      <c r="I260" s="5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</row>
    <row r="261" spans="1:15" x14ac:dyDescent="0.25">
      <c r="A261" t="s">
        <v>68</v>
      </c>
      <c r="B261" s="85">
        <v>45917</v>
      </c>
      <c r="C261">
        <v>9</v>
      </c>
      <c r="D261" s="5">
        <v>916492</v>
      </c>
      <c r="E261" s="5">
        <f t="shared" si="8"/>
        <v>197</v>
      </c>
      <c r="F261" s="5">
        <v>12754</v>
      </c>
      <c r="G261" s="5">
        <v>11292</v>
      </c>
      <c r="H261" s="5">
        <v>0</v>
      </c>
      <c r="I261" s="5">
        <v>6085.24</v>
      </c>
      <c r="J261" s="88">
        <v>1400</v>
      </c>
      <c r="K261" s="88">
        <v>0</v>
      </c>
      <c r="L261" s="88">
        <v>37540</v>
      </c>
      <c r="M261" s="88">
        <v>12</v>
      </c>
      <c r="N261" s="88">
        <f>+L261/M261</f>
        <v>3128.3333333333335</v>
      </c>
      <c r="O261" s="89">
        <f>L261/(I261-J261-K261)</f>
        <v>8.0123963767064232</v>
      </c>
    </row>
    <row r="262" spans="1:15" x14ac:dyDescent="0.25">
      <c r="A262" t="s">
        <v>69</v>
      </c>
      <c r="B262" s="85">
        <v>45918</v>
      </c>
      <c r="C262">
        <v>9</v>
      </c>
      <c r="D262" s="5">
        <v>916910</v>
      </c>
      <c r="E262" s="5">
        <f t="shared" si="8"/>
        <v>418</v>
      </c>
      <c r="F262" s="5">
        <v>20314</v>
      </c>
      <c r="G262" s="5">
        <v>12487</v>
      </c>
      <c r="H262" s="5">
        <v>21058.280000000002</v>
      </c>
      <c r="I262" s="5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</row>
    <row r="263" spans="1:15" x14ac:dyDescent="0.25">
      <c r="A263" t="s">
        <v>70</v>
      </c>
      <c r="B263" s="85">
        <v>45919</v>
      </c>
      <c r="C263">
        <v>9</v>
      </c>
      <c r="D263" s="5">
        <v>917040</v>
      </c>
      <c r="E263" s="5">
        <f t="shared" si="8"/>
        <v>130</v>
      </c>
      <c r="F263" s="5">
        <v>9112</v>
      </c>
      <c r="G263" s="5">
        <v>9736</v>
      </c>
      <c r="H263" s="5">
        <v>0</v>
      </c>
      <c r="I263" s="5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</row>
    <row r="264" spans="1:15" x14ac:dyDescent="0.25">
      <c r="A264" t="s">
        <v>71</v>
      </c>
      <c r="B264" s="85">
        <v>45920</v>
      </c>
      <c r="C264">
        <v>9</v>
      </c>
      <c r="D264" s="5">
        <v>917093</v>
      </c>
      <c r="E264" s="5">
        <f t="shared" si="8"/>
        <v>53</v>
      </c>
      <c r="F264" s="5">
        <v>1868</v>
      </c>
      <c r="G264" s="5">
        <v>5939</v>
      </c>
      <c r="H264" s="5">
        <v>0</v>
      </c>
      <c r="I264" s="5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</row>
    <row r="265" spans="1:15" x14ac:dyDescent="0.25">
      <c r="A265" t="s">
        <v>72</v>
      </c>
      <c r="B265" s="85">
        <v>45921</v>
      </c>
      <c r="C265">
        <v>9</v>
      </c>
      <c r="D265" s="5">
        <v>917093</v>
      </c>
      <c r="E265" s="5">
        <f t="shared" si="8"/>
        <v>0</v>
      </c>
      <c r="F265" s="5">
        <v>1965</v>
      </c>
      <c r="G265" s="5">
        <v>5159</v>
      </c>
      <c r="H265" s="5">
        <v>0</v>
      </c>
      <c r="I265" s="5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</row>
    <row r="266" spans="1:15" x14ac:dyDescent="0.25">
      <c r="A266" t="s">
        <v>73</v>
      </c>
      <c r="B266" s="85">
        <v>45922</v>
      </c>
      <c r="C266">
        <v>9</v>
      </c>
      <c r="D266" s="5">
        <v>917486</v>
      </c>
      <c r="E266" s="5">
        <f t="shared" si="8"/>
        <v>393</v>
      </c>
      <c r="F266" s="5">
        <v>26318</v>
      </c>
      <c r="G266" s="5">
        <v>12594</v>
      </c>
      <c r="H266" s="5">
        <v>28384.36</v>
      </c>
      <c r="I266" s="5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</row>
    <row r="267" spans="1:15" x14ac:dyDescent="0.25">
      <c r="A267" t="s">
        <v>74</v>
      </c>
      <c r="B267" s="85">
        <v>45923</v>
      </c>
      <c r="C267">
        <v>9</v>
      </c>
      <c r="D267" s="5">
        <v>917680</v>
      </c>
      <c r="E267" s="5">
        <f t="shared" si="8"/>
        <v>194</v>
      </c>
      <c r="F267" s="5">
        <v>12772</v>
      </c>
      <c r="G267" s="5">
        <v>9464</v>
      </c>
      <c r="H267" s="5">
        <v>0</v>
      </c>
      <c r="I267" s="5">
        <v>0</v>
      </c>
      <c r="J267" s="88">
        <v>0</v>
      </c>
      <c r="K267" s="88">
        <v>0</v>
      </c>
      <c r="L267" s="88">
        <v>0</v>
      </c>
      <c r="M267" s="88">
        <v>0</v>
      </c>
      <c r="N267" s="88">
        <v>0</v>
      </c>
      <c r="O267" s="88">
        <v>0</v>
      </c>
    </row>
    <row r="268" spans="1:15" x14ac:dyDescent="0.25">
      <c r="A268" t="s">
        <v>68</v>
      </c>
      <c r="B268" s="85">
        <v>45924</v>
      </c>
      <c r="C268">
        <v>9</v>
      </c>
      <c r="D268" s="5">
        <v>917999</v>
      </c>
      <c r="E268" s="5">
        <f t="shared" si="8"/>
        <v>319</v>
      </c>
      <c r="F268" s="5">
        <v>21786</v>
      </c>
      <c r="G268" s="5">
        <v>11695</v>
      </c>
      <c r="H268" s="5">
        <v>18930.73</v>
      </c>
      <c r="I268" s="5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</row>
    <row r="269" spans="1:15" x14ac:dyDescent="0.25">
      <c r="A269" t="s">
        <v>69</v>
      </c>
      <c r="B269" s="85">
        <v>45925</v>
      </c>
      <c r="C269">
        <v>9</v>
      </c>
      <c r="D269" s="5">
        <v>918272</v>
      </c>
      <c r="E269" s="5">
        <f t="shared" si="8"/>
        <v>273</v>
      </c>
      <c r="F269" s="5">
        <v>13150</v>
      </c>
      <c r="G269" s="5">
        <v>9386</v>
      </c>
      <c r="H269" s="5">
        <v>0</v>
      </c>
      <c r="I269" s="5">
        <v>1697.1</v>
      </c>
      <c r="J269" s="88">
        <v>300</v>
      </c>
      <c r="K269" s="88">
        <v>0</v>
      </c>
      <c r="L269" s="88">
        <v>9250</v>
      </c>
      <c r="M269" s="88">
        <v>3</v>
      </c>
      <c r="N269" s="88">
        <f>+L269/M269</f>
        <v>3083.3333333333335</v>
      </c>
      <c r="O269" s="89">
        <f>L269/(I269-J269-K269)</f>
        <v>6.6208574905160695</v>
      </c>
    </row>
    <row r="270" spans="1:15" x14ac:dyDescent="0.25">
      <c r="A270" t="s">
        <v>70</v>
      </c>
      <c r="B270" s="85">
        <v>45926</v>
      </c>
      <c r="C270">
        <v>9</v>
      </c>
      <c r="D270" s="5">
        <v>918449</v>
      </c>
      <c r="E270" s="5">
        <f t="shared" si="8"/>
        <v>177</v>
      </c>
      <c r="F270" s="5">
        <v>12309</v>
      </c>
      <c r="G270" s="5">
        <v>8004</v>
      </c>
      <c r="H270" s="5">
        <v>0</v>
      </c>
      <c r="I270" s="5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</row>
    <row r="271" spans="1:15" x14ac:dyDescent="0.25">
      <c r="A271" t="s">
        <v>71</v>
      </c>
      <c r="B271" s="85">
        <v>45927</v>
      </c>
      <c r="C271">
        <v>9</v>
      </c>
      <c r="D271" s="5">
        <v>918512</v>
      </c>
      <c r="E271" s="5">
        <f t="shared" si="8"/>
        <v>63</v>
      </c>
      <c r="F271" s="5">
        <v>3063</v>
      </c>
      <c r="G271" s="5">
        <v>5228</v>
      </c>
      <c r="H271" s="5">
        <v>0</v>
      </c>
      <c r="I271" s="5">
        <v>0</v>
      </c>
      <c r="J271" s="88">
        <v>0</v>
      </c>
      <c r="K271" s="88">
        <v>0</v>
      </c>
      <c r="L271" s="88">
        <v>0</v>
      </c>
      <c r="M271" s="88">
        <v>0</v>
      </c>
      <c r="N271" s="88">
        <v>0</v>
      </c>
      <c r="O271" s="88">
        <v>0</v>
      </c>
    </row>
    <row r="272" spans="1:15" x14ac:dyDescent="0.25">
      <c r="A272" t="s">
        <v>72</v>
      </c>
      <c r="B272" s="85">
        <v>45928</v>
      </c>
      <c r="C272">
        <v>9</v>
      </c>
      <c r="D272" s="5">
        <v>918512</v>
      </c>
      <c r="E272" s="5">
        <f t="shared" si="8"/>
        <v>0</v>
      </c>
      <c r="F272" s="5">
        <v>1718</v>
      </c>
      <c r="G272" s="5">
        <v>5058</v>
      </c>
      <c r="H272" s="5">
        <v>0</v>
      </c>
      <c r="I272" s="5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</row>
    <row r="273" spans="1:15" x14ac:dyDescent="0.25">
      <c r="A273" t="s">
        <v>73</v>
      </c>
      <c r="B273" s="85">
        <v>45929</v>
      </c>
      <c r="C273">
        <v>9</v>
      </c>
      <c r="D273" s="5">
        <v>918902</v>
      </c>
      <c r="E273" s="5">
        <f t="shared" si="8"/>
        <v>390</v>
      </c>
      <c r="F273" s="5">
        <v>30403</v>
      </c>
      <c r="G273" s="5">
        <v>13122</v>
      </c>
      <c r="H273" s="5">
        <v>30142.699999999997</v>
      </c>
      <c r="I273" s="5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</row>
    <row r="274" spans="1:15" x14ac:dyDescent="0.25">
      <c r="A274" t="s">
        <v>74</v>
      </c>
      <c r="B274" s="91">
        <v>45930</v>
      </c>
      <c r="C274">
        <v>9</v>
      </c>
      <c r="D274" s="5">
        <v>919194</v>
      </c>
      <c r="E274" s="5">
        <f t="shared" si="8"/>
        <v>292</v>
      </c>
      <c r="F274" s="5">
        <v>15167</v>
      </c>
      <c r="G274" s="5">
        <v>10383</v>
      </c>
      <c r="H274" s="5">
        <v>0</v>
      </c>
      <c r="I274" s="5">
        <v>6608.92</v>
      </c>
      <c r="J274" s="88">
        <v>1750</v>
      </c>
      <c r="K274" s="88"/>
      <c r="L274" s="88">
        <v>37539</v>
      </c>
      <c r="M274" s="88">
        <v>12</v>
      </c>
      <c r="N274" s="88">
        <f>+L274/M274</f>
        <v>3128.25</v>
      </c>
      <c r="O274" s="89">
        <f>L274/(I274-J274-K274)</f>
        <v>7.725790916499963</v>
      </c>
    </row>
    <row r="275" spans="1:15" x14ac:dyDescent="0.25">
      <c r="A275" t="s">
        <v>68</v>
      </c>
      <c r="B275" s="92">
        <v>45931</v>
      </c>
      <c r="C275">
        <v>10</v>
      </c>
      <c r="D275" s="5">
        <v>919327</v>
      </c>
      <c r="E275" s="5">
        <f t="shared" si="8"/>
        <v>133</v>
      </c>
      <c r="F275" s="5">
        <v>10732</v>
      </c>
      <c r="G275" s="5">
        <v>7411</v>
      </c>
      <c r="H275" s="5">
        <v>0</v>
      </c>
      <c r="I275" s="5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</row>
    <row r="276" spans="1:15" x14ac:dyDescent="0.25">
      <c r="A276" t="s">
        <v>69</v>
      </c>
      <c r="B276" s="85">
        <v>45932</v>
      </c>
      <c r="C276">
        <v>10</v>
      </c>
      <c r="D276" s="5">
        <v>919703</v>
      </c>
      <c r="E276" s="5">
        <f t="shared" si="8"/>
        <v>376</v>
      </c>
      <c r="F276" s="5">
        <v>25202</v>
      </c>
      <c r="G276" s="5">
        <v>12340</v>
      </c>
      <c r="H276" s="5">
        <v>25231.62</v>
      </c>
      <c r="I276" s="5">
        <v>0</v>
      </c>
      <c r="J276" s="88">
        <v>0</v>
      </c>
      <c r="K276" s="88">
        <v>0</v>
      </c>
      <c r="L276" s="88">
        <v>0</v>
      </c>
      <c r="M276" s="88">
        <v>0</v>
      </c>
      <c r="N276" s="88">
        <v>0</v>
      </c>
      <c r="O276" s="88">
        <v>0</v>
      </c>
    </row>
    <row r="277" spans="1:15" x14ac:dyDescent="0.25">
      <c r="A277" t="s">
        <v>70</v>
      </c>
      <c r="B277" s="85">
        <v>45933</v>
      </c>
      <c r="C277">
        <v>10</v>
      </c>
      <c r="D277" s="5">
        <v>919923</v>
      </c>
      <c r="E277" s="5">
        <f t="shared" si="8"/>
        <v>220</v>
      </c>
      <c r="F277" s="5">
        <v>9581</v>
      </c>
      <c r="G277" s="5">
        <v>9743</v>
      </c>
      <c r="H277" s="5">
        <v>0</v>
      </c>
      <c r="I277" s="5">
        <v>0</v>
      </c>
      <c r="J277" s="88">
        <v>0</v>
      </c>
      <c r="K277" s="88">
        <v>0</v>
      </c>
      <c r="L277" s="88">
        <v>0</v>
      </c>
      <c r="M277" s="88">
        <v>0</v>
      </c>
      <c r="N277" s="88">
        <v>0</v>
      </c>
      <c r="O277" s="88">
        <v>0</v>
      </c>
    </row>
    <row r="278" spans="1:15" x14ac:dyDescent="0.25">
      <c r="A278" t="s">
        <v>71</v>
      </c>
      <c r="B278" s="85">
        <v>45934</v>
      </c>
      <c r="C278">
        <v>10</v>
      </c>
      <c r="D278" s="5">
        <v>919973</v>
      </c>
      <c r="E278" s="5">
        <f t="shared" si="8"/>
        <v>50</v>
      </c>
      <c r="F278" s="5">
        <v>2827</v>
      </c>
      <c r="G278" s="5">
        <v>5169</v>
      </c>
      <c r="H278" s="5">
        <v>0</v>
      </c>
      <c r="I278" s="5">
        <v>0</v>
      </c>
      <c r="J278" s="88">
        <v>0</v>
      </c>
      <c r="K278" s="88">
        <v>0</v>
      </c>
      <c r="L278" s="88">
        <v>0</v>
      </c>
      <c r="M278" s="88">
        <v>0</v>
      </c>
      <c r="N278" s="88">
        <v>0</v>
      </c>
      <c r="O278" s="88">
        <v>0</v>
      </c>
    </row>
    <row r="279" spans="1:15" x14ac:dyDescent="0.25">
      <c r="A279" t="s">
        <v>72</v>
      </c>
      <c r="B279" s="85">
        <v>45935</v>
      </c>
      <c r="C279">
        <v>10</v>
      </c>
      <c r="D279" s="5">
        <v>919973</v>
      </c>
      <c r="E279" s="5">
        <f t="shared" si="8"/>
        <v>0</v>
      </c>
      <c r="F279" s="5">
        <v>2277</v>
      </c>
      <c r="G279" s="5">
        <v>4883</v>
      </c>
      <c r="H279" s="5">
        <v>0</v>
      </c>
      <c r="I279" s="5">
        <v>0</v>
      </c>
      <c r="J279" s="88">
        <v>0</v>
      </c>
      <c r="K279" s="88">
        <v>0</v>
      </c>
      <c r="L279" s="88">
        <v>0</v>
      </c>
      <c r="M279" s="88">
        <v>0</v>
      </c>
      <c r="N279" s="88">
        <v>0</v>
      </c>
      <c r="O279" s="88">
        <v>0</v>
      </c>
    </row>
    <row r="280" spans="1:15" x14ac:dyDescent="0.25">
      <c r="A280" t="s">
        <v>73</v>
      </c>
      <c r="B280" s="85">
        <v>45936</v>
      </c>
      <c r="C280">
        <v>10</v>
      </c>
      <c r="D280" s="5">
        <v>920360</v>
      </c>
      <c r="E280" s="5">
        <f t="shared" si="8"/>
        <v>387</v>
      </c>
      <c r="F280" s="5">
        <v>25020</v>
      </c>
      <c r="G280" s="5">
        <v>11152</v>
      </c>
      <c r="H280" s="5">
        <v>15537.410000000002</v>
      </c>
      <c r="I280" s="5">
        <v>0</v>
      </c>
      <c r="J280" s="88">
        <v>0</v>
      </c>
      <c r="K280" s="88">
        <v>0</v>
      </c>
      <c r="L280" s="88">
        <v>0</v>
      </c>
      <c r="M280" s="88">
        <v>0</v>
      </c>
      <c r="N280" s="88">
        <v>0</v>
      </c>
      <c r="O280" s="88">
        <v>0</v>
      </c>
    </row>
    <row r="281" spans="1:15" x14ac:dyDescent="0.25">
      <c r="A281" t="s">
        <v>74</v>
      </c>
      <c r="B281" s="85">
        <v>45937</v>
      </c>
      <c r="C281">
        <v>10</v>
      </c>
      <c r="D281" s="5">
        <v>920468</v>
      </c>
      <c r="E281" s="5">
        <f t="shared" si="8"/>
        <v>108</v>
      </c>
      <c r="F281" s="5">
        <v>11557</v>
      </c>
      <c r="G281" s="5">
        <v>8448</v>
      </c>
      <c r="H281" s="5">
        <v>0</v>
      </c>
      <c r="I281" s="5">
        <v>0</v>
      </c>
      <c r="J281" s="88">
        <v>0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</row>
    <row r="282" spans="1:15" x14ac:dyDescent="0.25">
      <c r="A282" t="s">
        <v>68</v>
      </c>
      <c r="B282" s="85">
        <v>45938</v>
      </c>
      <c r="C282">
        <v>10</v>
      </c>
      <c r="D282" s="5">
        <v>920574</v>
      </c>
      <c r="E282" s="5">
        <f t="shared" si="8"/>
        <v>106</v>
      </c>
      <c r="F282" s="5">
        <v>10503</v>
      </c>
      <c r="G282" s="5">
        <v>6776</v>
      </c>
      <c r="H282" s="5">
        <v>0</v>
      </c>
      <c r="I282" s="5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</row>
    <row r="283" spans="1:15" x14ac:dyDescent="0.25">
      <c r="A283" t="s">
        <v>69</v>
      </c>
      <c r="B283" s="85">
        <v>45939</v>
      </c>
      <c r="C283">
        <v>10</v>
      </c>
      <c r="D283" s="5">
        <v>920903</v>
      </c>
      <c r="E283" s="5">
        <f t="shared" si="8"/>
        <v>329</v>
      </c>
      <c r="F283" s="5">
        <v>24935</v>
      </c>
      <c r="G283" s="5">
        <v>11848</v>
      </c>
      <c r="H283" s="5">
        <v>21918.000000000004</v>
      </c>
      <c r="I283" s="5">
        <v>0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</row>
    <row r="284" spans="1:15" x14ac:dyDescent="0.25">
      <c r="A284" t="s">
        <v>70</v>
      </c>
      <c r="B284" s="85">
        <v>45940</v>
      </c>
      <c r="C284">
        <v>10</v>
      </c>
      <c r="D284" s="5">
        <v>921167</v>
      </c>
      <c r="E284" s="5">
        <f t="shared" si="8"/>
        <v>264</v>
      </c>
      <c r="F284" s="5">
        <v>10282</v>
      </c>
      <c r="G284" s="5">
        <v>8797</v>
      </c>
      <c r="H284" s="5">
        <v>0</v>
      </c>
      <c r="I284" s="5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</row>
    <row r="285" spans="1:15" x14ac:dyDescent="0.25">
      <c r="A285" t="s">
        <v>71</v>
      </c>
      <c r="B285" s="85">
        <v>45941</v>
      </c>
      <c r="C285">
        <v>10</v>
      </c>
      <c r="D285" s="5">
        <v>921208</v>
      </c>
      <c r="E285" s="5">
        <f t="shared" si="8"/>
        <v>41</v>
      </c>
      <c r="F285" s="5">
        <v>3696</v>
      </c>
      <c r="G285" s="5">
        <v>4965</v>
      </c>
      <c r="H285" s="5">
        <v>0</v>
      </c>
      <c r="I285" s="5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</row>
    <row r="286" spans="1:15" x14ac:dyDescent="0.25">
      <c r="A286" t="s">
        <v>72</v>
      </c>
      <c r="B286" s="85">
        <v>45942</v>
      </c>
      <c r="C286">
        <v>10</v>
      </c>
      <c r="D286" s="5">
        <v>921208</v>
      </c>
      <c r="E286" s="5">
        <f t="shared" si="8"/>
        <v>0</v>
      </c>
      <c r="F286" s="5">
        <v>1984</v>
      </c>
      <c r="G286" s="5">
        <v>4845</v>
      </c>
      <c r="H286" s="5">
        <v>0</v>
      </c>
      <c r="I286" s="5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</row>
    <row r="287" spans="1:15" x14ac:dyDescent="0.25">
      <c r="A287" t="s">
        <v>73</v>
      </c>
      <c r="B287" s="85">
        <v>45943</v>
      </c>
      <c r="C287">
        <v>10</v>
      </c>
      <c r="D287" s="5">
        <v>921232</v>
      </c>
      <c r="E287" s="5">
        <f t="shared" si="8"/>
        <v>24</v>
      </c>
      <c r="F287" s="5">
        <v>11424</v>
      </c>
      <c r="G287" s="5">
        <v>5315</v>
      </c>
      <c r="H287" s="5">
        <v>0</v>
      </c>
      <c r="I287" s="5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</row>
    <row r="288" spans="1:15" x14ac:dyDescent="0.25">
      <c r="A288" t="s">
        <v>74</v>
      </c>
      <c r="B288" s="85">
        <v>45944</v>
      </c>
      <c r="C288">
        <v>10</v>
      </c>
      <c r="D288" s="5">
        <v>921557</v>
      </c>
      <c r="E288" s="5">
        <f t="shared" si="8"/>
        <v>325</v>
      </c>
      <c r="F288" s="5">
        <v>23515</v>
      </c>
      <c r="G288" s="5">
        <v>11506</v>
      </c>
      <c r="H288" s="5">
        <v>17041.650000000001</v>
      </c>
      <c r="I288" s="5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</row>
    <row r="289" spans="1:15" x14ac:dyDescent="0.25">
      <c r="A289" t="s">
        <v>68</v>
      </c>
      <c r="B289" s="85">
        <v>45945</v>
      </c>
      <c r="C289">
        <v>10</v>
      </c>
      <c r="D289" s="5">
        <v>921629</v>
      </c>
      <c r="E289" s="5">
        <f t="shared" si="8"/>
        <v>72</v>
      </c>
      <c r="F289" s="5">
        <v>13934</v>
      </c>
      <c r="G289" s="5">
        <v>8099</v>
      </c>
      <c r="H289" s="5">
        <v>0</v>
      </c>
      <c r="I289" s="5">
        <v>7071.63</v>
      </c>
      <c r="J289" s="5">
        <v>1370</v>
      </c>
      <c r="K289" s="5">
        <v>290</v>
      </c>
      <c r="L289" s="5">
        <v>37398</v>
      </c>
      <c r="M289" s="5">
        <v>12</v>
      </c>
      <c r="N289" s="88">
        <f>+L289/M289</f>
        <v>3116.5</v>
      </c>
      <c r="O289" s="89">
        <f>L289/(I289-J289-K289)</f>
        <v>6.9106720156403894</v>
      </c>
    </row>
    <row r="290" spans="1:15" x14ac:dyDescent="0.25">
      <c r="A290" t="s">
        <v>69</v>
      </c>
      <c r="B290" s="85">
        <v>45946</v>
      </c>
      <c r="C290">
        <v>10</v>
      </c>
      <c r="D290" s="5">
        <v>921957</v>
      </c>
      <c r="E290" s="5">
        <f t="shared" si="8"/>
        <v>328</v>
      </c>
      <c r="F290" s="5">
        <v>20800</v>
      </c>
      <c r="G290" s="5">
        <v>10188</v>
      </c>
      <c r="H290" s="5">
        <v>17573.169999999998</v>
      </c>
      <c r="I290" s="5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</row>
    <row r="291" spans="1:15" x14ac:dyDescent="0.25">
      <c r="A291" t="s">
        <v>70</v>
      </c>
      <c r="B291" s="85">
        <v>45947</v>
      </c>
      <c r="C291">
        <v>10</v>
      </c>
      <c r="D291" s="5">
        <v>922372</v>
      </c>
      <c r="E291" s="5">
        <f t="shared" si="8"/>
        <v>415</v>
      </c>
      <c r="F291" s="5">
        <v>11211</v>
      </c>
      <c r="G291" s="5">
        <v>8885</v>
      </c>
      <c r="H291" s="5">
        <v>0</v>
      </c>
      <c r="I291" s="5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</row>
    <row r="292" spans="1:15" x14ac:dyDescent="0.25">
      <c r="A292" t="s">
        <v>71</v>
      </c>
      <c r="B292" s="85">
        <v>45948</v>
      </c>
      <c r="C292">
        <v>10</v>
      </c>
      <c r="D292" s="5">
        <v>922415</v>
      </c>
      <c r="E292" s="5">
        <f t="shared" si="8"/>
        <v>43</v>
      </c>
      <c r="F292" s="5">
        <v>2876</v>
      </c>
      <c r="G292" s="5">
        <v>5050</v>
      </c>
      <c r="H292" s="5">
        <v>0</v>
      </c>
      <c r="I292" s="5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</row>
    <row r="293" spans="1:15" x14ac:dyDescent="0.25">
      <c r="A293" t="s">
        <v>72</v>
      </c>
      <c r="B293" s="85">
        <v>45949</v>
      </c>
      <c r="C293">
        <v>10</v>
      </c>
      <c r="D293" s="5">
        <v>922415</v>
      </c>
      <c r="E293" s="5">
        <f t="shared" si="8"/>
        <v>0</v>
      </c>
      <c r="F293" s="5">
        <v>2097</v>
      </c>
      <c r="G293" s="5">
        <v>4985</v>
      </c>
      <c r="H293" s="5">
        <v>0</v>
      </c>
      <c r="I293" s="5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</row>
    <row r="294" spans="1:15" x14ac:dyDescent="0.25">
      <c r="A294" t="s">
        <v>73</v>
      </c>
      <c r="B294" s="85">
        <v>45950</v>
      </c>
      <c r="C294">
        <v>10</v>
      </c>
      <c r="D294" s="5">
        <v>922603</v>
      </c>
      <c r="E294" s="5">
        <f t="shared" si="8"/>
        <v>188</v>
      </c>
      <c r="F294" s="5">
        <v>19316</v>
      </c>
      <c r="G294" s="5">
        <v>7265</v>
      </c>
      <c r="H294" s="5">
        <v>0</v>
      </c>
      <c r="I294" s="5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</row>
    <row r="295" spans="1:15" x14ac:dyDescent="0.25">
      <c r="A295" t="s">
        <v>74</v>
      </c>
      <c r="B295" s="85">
        <v>45951</v>
      </c>
      <c r="C295">
        <v>10</v>
      </c>
      <c r="D295" s="5">
        <v>922962</v>
      </c>
      <c r="E295" s="5">
        <f t="shared" si="8"/>
        <v>359</v>
      </c>
      <c r="F295" s="5">
        <v>25860</v>
      </c>
      <c r="G295" s="5">
        <v>12587</v>
      </c>
      <c r="H295" s="5">
        <v>22907.64</v>
      </c>
      <c r="I295" s="5">
        <v>0</v>
      </c>
      <c r="J295" s="88">
        <v>0</v>
      </c>
      <c r="K295" s="88">
        <v>0</v>
      </c>
      <c r="L295" s="88">
        <v>0</v>
      </c>
      <c r="M295" s="88">
        <v>0</v>
      </c>
      <c r="N295" s="88">
        <v>0</v>
      </c>
      <c r="O295" s="88">
        <v>0</v>
      </c>
    </row>
    <row r="296" spans="1:15" x14ac:dyDescent="0.25">
      <c r="A296" t="s">
        <v>68</v>
      </c>
      <c r="B296" s="85">
        <v>45952</v>
      </c>
      <c r="C296">
        <v>10</v>
      </c>
      <c r="D296" s="5">
        <v>923163</v>
      </c>
      <c r="E296" s="5">
        <f t="shared" si="8"/>
        <v>201</v>
      </c>
      <c r="F296" s="5">
        <v>12777</v>
      </c>
      <c r="G296" s="5">
        <v>8585</v>
      </c>
      <c r="H296" s="5">
        <v>0</v>
      </c>
      <c r="I296" s="5">
        <v>0</v>
      </c>
      <c r="J296" s="88">
        <v>0</v>
      </c>
      <c r="K296" s="88">
        <v>0</v>
      </c>
      <c r="L296" s="88">
        <v>0</v>
      </c>
      <c r="M296" s="88">
        <v>0</v>
      </c>
      <c r="N296" s="88">
        <v>0</v>
      </c>
      <c r="O296" s="88">
        <v>0</v>
      </c>
    </row>
    <row r="297" spans="1:15" x14ac:dyDescent="0.25">
      <c r="A297" t="s">
        <v>69</v>
      </c>
      <c r="B297" s="85">
        <v>45953</v>
      </c>
      <c r="C297">
        <v>10</v>
      </c>
      <c r="D297" s="5">
        <v>923488</v>
      </c>
      <c r="E297" s="5">
        <f t="shared" si="8"/>
        <v>325</v>
      </c>
      <c r="F297" s="5">
        <v>21420</v>
      </c>
      <c r="G297" s="5">
        <v>11502</v>
      </c>
      <c r="H297" s="5">
        <v>14707.79</v>
      </c>
      <c r="I297" s="5">
        <v>0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</row>
    <row r="298" spans="1:15" x14ac:dyDescent="0.25">
      <c r="A298" t="s">
        <v>70</v>
      </c>
      <c r="B298" s="85">
        <v>45954</v>
      </c>
      <c r="C298">
        <v>10</v>
      </c>
      <c r="D298" s="5">
        <v>923633</v>
      </c>
      <c r="E298" s="5">
        <f t="shared" si="8"/>
        <v>145</v>
      </c>
      <c r="F298" s="5">
        <v>11973</v>
      </c>
      <c r="G298" s="5">
        <v>7531</v>
      </c>
      <c r="H298" s="5">
        <v>0</v>
      </c>
      <c r="I298" s="5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</row>
    <row r="299" spans="1:15" x14ac:dyDescent="0.25">
      <c r="A299" t="s">
        <v>71</v>
      </c>
      <c r="B299" s="85">
        <v>45955</v>
      </c>
      <c r="C299">
        <v>10</v>
      </c>
      <c r="D299" s="5">
        <v>923658</v>
      </c>
      <c r="E299" s="5">
        <f t="shared" si="8"/>
        <v>25</v>
      </c>
      <c r="F299" s="5">
        <v>3322</v>
      </c>
      <c r="G299" s="5">
        <v>5060</v>
      </c>
      <c r="H299" s="5">
        <v>0</v>
      </c>
      <c r="I299" s="5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</row>
    <row r="300" spans="1:15" x14ac:dyDescent="0.25">
      <c r="A300" t="s">
        <v>72</v>
      </c>
      <c r="B300" s="85">
        <v>45956</v>
      </c>
      <c r="C300">
        <v>10</v>
      </c>
      <c r="D300" s="5">
        <v>923658</v>
      </c>
      <c r="E300" s="5">
        <f t="shared" si="8"/>
        <v>0</v>
      </c>
      <c r="F300" s="5">
        <v>3231</v>
      </c>
      <c r="G300" s="5">
        <v>5082</v>
      </c>
      <c r="H300" s="5">
        <v>0</v>
      </c>
      <c r="I300" s="5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</row>
    <row r="301" spans="1:15" x14ac:dyDescent="0.25">
      <c r="A301" t="s">
        <v>73</v>
      </c>
      <c r="B301" s="85">
        <v>45957</v>
      </c>
      <c r="C301">
        <v>10</v>
      </c>
      <c r="D301" s="5">
        <v>924091</v>
      </c>
      <c r="E301" s="5">
        <f t="shared" si="8"/>
        <v>433</v>
      </c>
      <c r="F301" s="5">
        <v>29729</v>
      </c>
      <c r="G301" s="5">
        <v>11800</v>
      </c>
      <c r="H301" s="5">
        <v>21461.23</v>
      </c>
      <c r="I301" s="5">
        <v>0</v>
      </c>
      <c r="J301" s="88">
        <v>0</v>
      </c>
      <c r="K301" s="88">
        <v>0</v>
      </c>
      <c r="L301" s="88">
        <v>0</v>
      </c>
      <c r="M301" s="88">
        <v>0</v>
      </c>
      <c r="N301" s="88">
        <v>0</v>
      </c>
      <c r="O301" s="88">
        <v>0</v>
      </c>
    </row>
    <row r="302" spans="1:15" x14ac:dyDescent="0.25">
      <c r="A302" t="s">
        <v>74</v>
      </c>
      <c r="B302" s="85">
        <v>45958</v>
      </c>
      <c r="C302">
        <v>10</v>
      </c>
      <c r="D302" s="5">
        <v>924257</v>
      </c>
      <c r="E302" s="5">
        <f t="shared" si="8"/>
        <v>166</v>
      </c>
      <c r="F302" s="5">
        <v>17677</v>
      </c>
      <c r="G302" s="5">
        <v>7869</v>
      </c>
      <c r="H302" s="5">
        <v>0</v>
      </c>
      <c r="I302" s="5">
        <v>8063.24</v>
      </c>
      <c r="J302" s="5">
        <v>1330</v>
      </c>
      <c r="K302" s="5">
        <v>370</v>
      </c>
      <c r="L302" s="5">
        <v>43160</v>
      </c>
      <c r="M302" s="5">
        <v>14</v>
      </c>
      <c r="N302" s="88">
        <f>+L302/M302</f>
        <v>3082.8571428571427</v>
      </c>
      <c r="O302" s="89">
        <f>L302/(I302-J302-K302)</f>
        <v>6.7827081801095046</v>
      </c>
    </row>
    <row r="303" spans="1:15" x14ac:dyDescent="0.25">
      <c r="A303" t="s">
        <v>68</v>
      </c>
      <c r="B303" s="85">
        <v>45959</v>
      </c>
      <c r="C303">
        <v>10</v>
      </c>
      <c r="D303" s="5">
        <v>924398</v>
      </c>
      <c r="E303" s="5">
        <f t="shared" si="8"/>
        <v>141</v>
      </c>
      <c r="F303" s="5">
        <v>14461</v>
      </c>
      <c r="G303" s="5">
        <v>7939</v>
      </c>
      <c r="H303" s="5">
        <v>0</v>
      </c>
      <c r="I303" s="5">
        <v>0</v>
      </c>
      <c r="J303" s="88">
        <v>0</v>
      </c>
      <c r="K303" s="88">
        <v>0</v>
      </c>
      <c r="L303" s="88">
        <v>0</v>
      </c>
      <c r="M303" s="88">
        <v>0</v>
      </c>
      <c r="N303" s="88">
        <v>0</v>
      </c>
      <c r="O303" s="88">
        <v>0</v>
      </c>
    </row>
    <row r="304" spans="1:15" x14ac:dyDescent="0.25">
      <c r="A304" t="s">
        <v>69</v>
      </c>
      <c r="B304" s="85">
        <v>45960</v>
      </c>
      <c r="C304">
        <v>10</v>
      </c>
      <c r="D304" s="5">
        <v>924730</v>
      </c>
      <c r="E304" s="5">
        <f t="shared" si="8"/>
        <v>332</v>
      </c>
      <c r="F304" s="5">
        <v>21935</v>
      </c>
      <c r="G304" s="5">
        <v>10646</v>
      </c>
      <c r="H304" s="5">
        <v>18611.68</v>
      </c>
      <c r="I304" s="5">
        <v>0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88">
        <v>0</v>
      </c>
    </row>
    <row r="305" spans="1:15" x14ac:dyDescent="0.25">
      <c r="A305" t="s">
        <v>70</v>
      </c>
      <c r="B305" s="91">
        <v>45961</v>
      </c>
      <c r="C305">
        <v>10</v>
      </c>
      <c r="D305" s="5">
        <v>924808</v>
      </c>
      <c r="E305" s="5">
        <f t="shared" si="8"/>
        <v>78</v>
      </c>
      <c r="F305" s="5">
        <v>12125</v>
      </c>
      <c r="G305" s="5">
        <v>7829</v>
      </c>
      <c r="H305" s="5">
        <v>0</v>
      </c>
      <c r="I305" s="5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</row>
    <row r="306" spans="1:15" x14ac:dyDescent="0.25">
      <c r="A306" t="s">
        <v>71</v>
      </c>
      <c r="B306" s="92">
        <v>45962</v>
      </c>
      <c r="C306">
        <v>11</v>
      </c>
      <c r="D306" s="5">
        <v>924853</v>
      </c>
      <c r="E306" s="5">
        <f t="shared" si="8"/>
        <v>45</v>
      </c>
      <c r="F306" s="5">
        <v>2999</v>
      </c>
      <c r="G306" s="5">
        <v>5099</v>
      </c>
      <c r="H306" s="5">
        <v>0</v>
      </c>
    </row>
    <row r="307" spans="1:15" x14ac:dyDescent="0.25">
      <c r="A307" t="s">
        <v>72</v>
      </c>
      <c r="B307" s="85">
        <v>45963</v>
      </c>
      <c r="C307">
        <v>11</v>
      </c>
      <c r="D307" s="5">
        <v>924853</v>
      </c>
      <c r="E307" s="5">
        <f t="shared" si="8"/>
        <v>0</v>
      </c>
      <c r="F307" s="5">
        <v>3345</v>
      </c>
      <c r="G307" s="5">
        <v>4718</v>
      </c>
      <c r="H307" s="5">
        <v>0</v>
      </c>
    </row>
    <row r="308" spans="1:15" x14ac:dyDescent="0.25">
      <c r="A308" t="s">
        <v>73</v>
      </c>
      <c r="B308" s="85">
        <v>45964</v>
      </c>
      <c r="C308">
        <v>11</v>
      </c>
      <c r="D308" s="5">
        <v>924953</v>
      </c>
      <c r="E308" s="5">
        <f t="shared" si="8"/>
        <v>100</v>
      </c>
      <c r="F308" s="5">
        <v>17070</v>
      </c>
      <c r="G308" s="5">
        <v>6163</v>
      </c>
      <c r="H308" s="5">
        <v>0</v>
      </c>
    </row>
    <row r="309" spans="1:15" x14ac:dyDescent="0.25">
      <c r="A309" t="s">
        <v>74</v>
      </c>
      <c r="B309" s="85">
        <v>45965</v>
      </c>
      <c r="C309">
        <v>11</v>
      </c>
      <c r="D309" s="5">
        <v>925222</v>
      </c>
      <c r="E309" s="5">
        <f t="shared" si="8"/>
        <v>269</v>
      </c>
      <c r="F309" s="5">
        <v>22647</v>
      </c>
      <c r="G309" s="5">
        <v>10458</v>
      </c>
      <c r="H309" s="5">
        <v>22659.01</v>
      </c>
    </row>
    <row r="310" spans="1:15" x14ac:dyDescent="0.25">
      <c r="A310" t="s">
        <v>68</v>
      </c>
      <c r="B310" s="85">
        <v>45966</v>
      </c>
      <c r="C310">
        <v>11</v>
      </c>
      <c r="D310" s="5">
        <v>925387</v>
      </c>
      <c r="E310" s="5">
        <f t="shared" si="8"/>
        <v>165</v>
      </c>
      <c r="F310" s="5">
        <v>14369</v>
      </c>
      <c r="G310" s="5">
        <v>8700</v>
      </c>
      <c r="H310" s="5">
        <v>0</v>
      </c>
    </row>
    <row r="311" spans="1:15" x14ac:dyDescent="0.25">
      <c r="A311" t="s">
        <v>69</v>
      </c>
      <c r="B311" s="85">
        <v>45967</v>
      </c>
      <c r="C311">
        <v>11</v>
      </c>
      <c r="D311" s="5">
        <v>925642</v>
      </c>
      <c r="E311" s="5">
        <f t="shared" si="8"/>
        <v>255</v>
      </c>
      <c r="F311" s="5">
        <v>23877</v>
      </c>
      <c r="G311" s="5">
        <v>9368</v>
      </c>
      <c r="H311" s="5">
        <v>20317.669999999998</v>
      </c>
    </row>
    <row r="312" spans="1:15" x14ac:dyDescent="0.25">
      <c r="A312" t="s">
        <v>70</v>
      </c>
      <c r="B312" s="85">
        <v>45968</v>
      </c>
      <c r="C312">
        <v>11</v>
      </c>
      <c r="D312" s="5">
        <v>925809</v>
      </c>
      <c r="E312" s="5">
        <f t="shared" si="8"/>
        <v>167</v>
      </c>
      <c r="F312" s="5">
        <v>15616</v>
      </c>
      <c r="G312" s="5">
        <v>8293</v>
      </c>
      <c r="H312" s="5">
        <v>0</v>
      </c>
    </row>
    <row r="313" spans="1:15" x14ac:dyDescent="0.25">
      <c r="A313" t="s">
        <v>71</v>
      </c>
      <c r="B313" s="85">
        <v>45969</v>
      </c>
      <c r="C313">
        <v>11</v>
      </c>
      <c r="D313" s="5">
        <v>925847</v>
      </c>
      <c r="E313" s="5">
        <f t="shared" si="8"/>
        <v>38</v>
      </c>
      <c r="F313" s="5">
        <v>4576</v>
      </c>
      <c r="G313" s="5">
        <v>4400</v>
      </c>
      <c r="H313" s="5">
        <v>0</v>
      </c>
    </row>
    <row r="314" spans="1:15" x14ac:dyDescent="0.25">
      <c r="A314" t="s">
        <v>72</v>
      </c>
      <c r="B314" s="85">
        <v>45970</v>
      </c>
      <c r="C314">
        <v>11</v>
      </c>
      <c r="D314" s="5">
        <v>925847</v>
      </c>
      <c r="E314" s="5">
        <f t="shared" si="8"/>
        <v>0</v>
      </c>
      <c r="F314" s="5">
        <v>2973</v>
      </c>
      <c r="G314" s="5">
        <v>4256</v>
      </c>
      <c r="H314" s="5">
        <v>0</v>
      </c>
    </row>
    <row r="315" spans="1:15" x14ac:dyDescent="0.25">
      <c r="A315" t="s">
        <v>73</v>
      </c>
      <c r="B315" s="85">
        <v>45971</v>
      </c>
      <c r="C315">
        <v>11</v>
      </c>
      <c r="D315" s="5">
        <v>926059</v>
      </c>
      <c r="E315" s="5">
        <f t="shared" si="8"/>
        <v>212</v>
      </c>
      <c r="F315" s="5">
        <v>19976</v>
      </c>
      <c r="G315" s="5">
        <v>6581</v>
      </c>
      <c r="H315" s="5">
        <v>0</v>
      </c>
    </row>
    <row r="316" spans="1:15" x14ac:dyDescent="0.25">
      <c r="A316" t="s">
        <v>74</v>
      </c>
      <c r="B316" s="85">
        <v>45972</v>
      </c>
      <c r="C316">
        <v>11</v>
      </c>
      <c r="D316" s="5">
        <v>926392</v>
      </c>
      <c r="E316" s="5">
        <f t="shared" si="8"/>
        <v>333</v>
      </c>
      <c r="F316" s="5">
        <v>23007</v>
      </c>
      <c r="G316" s="5">
        <v>10138</v>
      </c>
      <c r="H316" s="5">
        <v>23484.98</v>
      </c>
    </row>
    <row r="317" spans="1:15" x14ac:dyDescent="0.25">
      <c r="A317" t="s">
        <v>68</v>
      </c>
      <c r="B317" s="85">
        <v>45973</v>
      </c>
      <c r="C317">
        <v>11</v>
      </c>
      <c r="D317" s="5">
        <v>926683</v>
      </c>
      <c r="E317" s="5">
        <f t="shared" si="8"/>
        <v>291</v>
      </c>
      <c r="F317" s="5">
        <v>15484</v>
      </c>
      <c r="G317" s="5">
        <v>8935</v>
      </c>
      <c r="H317" s="5">
        <v>0</v>
      </c>
    </row>
    <row r="318" spans="1:15" x14ac:dyDescent="0.25">
      <c r="A318" t="s">
        <v>69</v>
      </c>
      <c r="B318" s="85">
        <v>45974</v>
      </c>
      <c r="C318">
        <v>11</v>
      </c>
      <c r="D318" s="5">
        <v>926971</v>
      </c>
      <c r="E318" s="5">
        <f t="shared" si="8"/>
        <v>288</v>
      </c>
      <c r="F318" s="5">
        <v>21311</v>
      </c>
      <c r="G318" s="5">
        <v>12360</v>
      </c>
      <c r="H318" s="5">
        <v>17655</v>
      </c>
    </row>
    <row r="319" spans="1:15" x14ac:dyDescent="0.25">
      <c r="A319" t="s">
        <v>70</v>
      </c>
      <c r="B319" s="85">
        <v>45975</v>
      </c>
      <c r="C319">
        <v>11</v>
      </c>
      <c r="D319" s="5">
        <v>927258</v>
      </c>
      <c r="E319" s="5">
        <f t="shared" si="8"/>
        <v>287</v>
      </c>
      <c r="F319" s="5">
        <v>10840</v>
      </c>
      <c r="G319" s="5">
        <v>7417</v>
      </c>
      <c r="H319" s="5">
        <v>0</v>
      </c>
    </row>
    <row r="320" spans="1:15" x14ac:dyDescent="0.25">
      <c r="A320" t="s">
        <v>71</v>
      </c>
      <c r="B320" s="85">
        <v>45976</v>
      </c>
      <c r="C320">
        <v>11</v>
      </c>
      <c r="D320" s="5">
        <v>927448</v>
      </c>
      <c r="E320" s="5">
        <f t="shared" si="8"/>
        <v>190</v>
      </c>
      <c r="F320" s="5">
        <v>2806</v>
      </c>
      <c r="G320" s="5">
        <v>4946</v>
      </c>
      <c r="H320" s="5">
        <v>0</v>
      </c>
    </row>
    <row r="321" spans="1:15" x14ac:dyDescent="0.25">
      <c r="A321" t="s">
        <v>72</v>
      </c>
      <c r="B321" s="85">
        <v>45977</v>
      </c>
      <c r="C321">
        <v>11</v>
      </c>
      <c r="D321" s="5">
        <v>927448</v>
      </c>
      <c r="E321" s="5">
        <f t="shared" si="8"/>
        <v>0</v>
      </c>
      <c r="F321" s="5">
        <v>2930</v>
      </c>
      <c r="G321" s="5">
        <v>4751</v>
      </c>
      <c r="H321" s="5">
        <v>0</v>
      </c>
    </row>
    <row r="322" spans="1:15" x14ac:dyDescent="0.25">
      <c r="A322" t="s">
        <v>73</v>
      </c>
      <c r="B322" s="85">
        <v>45978</v>
      </c>
      <c r="C322">
        <v>11</v>
      </c>
      <c r="D322" s="5">
        <v>927448</v>
      </c>
      <c r="E322" s="5">
        <f t="shared" si="8"/>
        <v>0</v>
      </c>
      <c r="F322" s="5">
        <v>18101</v>
      </c>
      <c r="G322" s="5">
        <v>6979</v>
      </c>
      <c r="H322" s="5">
        <v>0</v>
      </c>
    </row>
    <row r="323" spans="1:15" x14ac:dyDescent="0.25">
      <c r="A323" t="s">
        <v>74</v>
      </c>
      <c r="B323" s="85">
        <v>45979</v>
      </c>
      <c r="C323">
        <v>11</v>
      </c>
      <c r="D323" s="5">
        <v>927567</v>
      </c>
      <c r="E323" s="5">
        <f t="shared" ref="E323:E366" si="9">+D323-D322</f>
        <v>119</v>
      </c>
      <c r="F323" s="5">
        <v>16994</v>
      </c>
      <c r="G323" s="5">
        <v>6520</v>
      </c>
      <c r="H323" s="5">
        <v>0</v>
      </c>
    </row>
    <row r="324" spans="1:15" x14ac:dyDescent="0.25">
      <c r="A324" t="s">
        <v>68</v>
      </c>
      <c r="B324" s="85">
        <v>45980</v>
      </c>
      <c r="C324">
        <v>11</v>
      </c>
      <c r="D324" s="5">
        <v>927897</v>
      </c>
      <c r="E324" s="5">
        <f t="shared" si="9"/>
        <v>330</v>
      </c>
      <c r="F324" s="5">
        <v>26441</v>
      </c>
      <c r="G324" s="5">
        <v>9395</v>
      </c>
      <c r="H324" s="5">
        <v>20145.060000000001</v>
      </c>
    </row>
    <row r="325" spans="1:15" x14ac:dyDescent="0.25">
      <c r="A325" t="s">
        <v>69</v>
      </c>
      <c r="B325" s="85">
        <v>45981</v>
      </c>
      <c r="C325">
        <v>11</v>
      </c>
      <c r="D325" s="5">
        <v>927897</v>
      </c>
      <c r="E325" s="5">
        <f t="shared" si="9"/>
        <v>0</v>
      </c>
      <c r="F325" s="5">
        <v>24510</v>
      </c>
      <c r="G325" s="5">
        <v>12079</v>
      </c>
      <c r="H325" s="5">
        <v>20398.5</v>
      </c>
    </row>
    <row r="326" spans="1:15" x14ac:dyDescent="0.25">
      <c r="A326" t="s">
        <v>70</v>
      </c>
      <c r="B326" s="85">
        <v>45982</v>
      </c>
      <c r="C326">
        <v>11</v>
      </c>
      <c r="D326" s="5">
        <v>928229</v>
      </c>
      <c r="E326" s="5">
        <f t="shared" si="9"/>
        <v>332</v>
      </c>
      <c r="F326" s="5">
        <v>14415</v>
      </c>
      <c r="G326" s="5">
        <v>7460</v>
      </c>
      <c r="H326" s="5">
        <v>0</v>
      </c>
    </row>
    <row r="327" spans="1:15" x14ac:dyDescent="0.25">
      <c r="A327" t="s">
        <v>71</v>
      </c>
      <c r="B327" s="85">
        <v>45983</v>
      </c>
      <c r="C327">
        <v>11</v>
      </c>
      <c r="D327" s="5">
        <f>+D326</f>
        <v>928229</v>
      </c>
      <c r="E327" s="5">
        <f t="shared" si="9"/>
        <v>0</v>
      </c>
      <c r="F327" s="5">
        <v>4770</v>
      </c>
      <c r="G327" s="5">
        <v>4788</v>
      </c>
      <c r="H327" s="5">
        <v>0</v>
      </c>
    </row>
    <row r="328" spans="1:15" x14ac:dyDescent="0.25">
      <c r="A328" t="s">
        <v>72</v>
      </c>
      <c r="B328" s="85">
        <v>45984</v>
      </c>
      <c r="C328">
        <v>11</v>
      </c>
      <c r="D328" s="5">
        <f>+D327</f>
        <v>928229</v>
      </c>
      <c r="E328" s="5">
        <f t="shared" si="9"/>
        <v>0</v>
      </c>
      <c r="F328" s="5">
        <v>3551</v>
      </c>
      <c r="G328" s="5">
        <v>4778</v>
      </c>
      <c r="H328" s="5">
        <v>0</v>
      </c>
    </row>
    <row r="329" spans="1:15" x14ac:dyDescent="0.25">
      <c r="A329" t="s">
        <v>73</v>
      </c>
      <c r="B329" s="85">
        <v>45985</v>
      </c>
      <c r="C329">
        <v>11</v>
      </c>
      <c r="D329" s="5">
        <v>928424</v>
      </c>
      <c r="E329" s="5">
        <f t="shared" si="9"/>
        <v>195</v>
      </c>
      <c r="F329" s="5">
        <v>28877</v>
      </c>
      <c r="G329" s="5">
        <v>9808</v>
      </c>
      <c r="H329" s="5">
        <v>19109.55</v>
      </c>
    </row>
    <row r="330" spans="1:15" x14ac:dyDescent="0.25">
      <c r="A330" t="s">
        <v>74</v>
      </c>
      <c r="B330" s="85">
        <v>45986</v>
      </c>
      <c r="C330">
        <v>11</v>
      </c>
      <c r="D330" s="5">
        <v>928794</v>
      </c>
      <c r="E330" s="5">
        <f t="shared" si="9"/>
        <v>370</v>
      </c>
      <c r="F330" s="5">
        <v>13793</v>
      </c>
      <c r="G330" s="5">
        <v>7852</v>
      </c>
      <c r="H330" s="5">
        <v>0</v>
      </c>
    </row>
    <row r="331" spans="1:15" x14ac:dyDescent="0.25">
      <c r="A331" t="s">
        <v>68</v>
      </c>
      <c r="B331" s="85">
        <v>45987</v>
      </c>
      <c r="C331">
        <v>11</v>
      </c>
      <c r="D331" s="5">
        <v>928852</v>
      </c>
      <c r="E331" s="5">
        <f t="shared" si="9"/>
        <v>58</v>
      </c>
      <c r="F331" s="5">
        <v>14520</v>
      </c>
      <c r="G331" s="5">
        <v>5786</v>
      </c>
      <c r="H331" s="5">
        <v>0</v>
      </c>
    </row>
    <row r="332" spans="1:15" x14ac:dyDescent="0.25">
      <c r="A332" t="s">
        <v>69</v>
      </c>
      <c r="B332" s="85">
        <v>45988</v>
      </c>
      <c r="C332">
        <v>11</v>
      </c>
      <c r="D332" s="5">
        <v>928931</v>
      </c>
      <c r="E332" s="5">
        <f t="shared" si="9"/>
        <v>79</v>
      </c>
      <c r="F332" s="5">
        <v>16442</v>
      </c>
      <c r="G332" s="5">
        <v>6015</v>
      </c>
      <c r="H332" s="5">
        <v>0</v>
      </c>
    </row>
    <row r="333" spans="1:15" x14ac:dyDescent="0.25">
      <c r="A333" t="s">
        <v>70</v>
      </c>
      <c r="B333" s="85">
        <v>45989</v>
      </c>
      <c r="C333">
        <v>11</v>
      </c>
      <c r="D333" s="5">
        <v>929045</v>
      </c>
      <c r="E333" s="5">
        <f t="shared" si="9"/>
        <v>114</v>
      </c>
      <c r="F333" s="5">
        <v>24280</v>
      </c>
      <c r="G333" s="5">
        <v>11993</v>
      </c>
      <c r="H333" s="5">
        <v>21096.720000000001</v>
      </c>
    </row>
    <row r="334" spans="1:15" x14ac:dyDescent="0.25">
      <c r="A334" t="s">
        <v>71</v>
      </c>
      <c r="B334" s="85">
        <v>45990</v>
      </c>
      <c r="C334">
        <v>11</v>
      </c>
      <c r="D334" s="5">
        <f>+D333</f>
        <v>929045</v>
      </c>
      <c r="E334" s="5">
        <f t="shared" si="9"/>
        <v>0</v>
      </c>
      <c r="F334" s="5">
        <v>3802</v>
      </c>
      <c r="G334" s="5">
        <v>4641</v>
      </c>
      <c r="H334" s="5">
        <v>0</v>
      </c>
    </row>
    <row r="335" spans="1:15" x14ac:dyDescent="0.25">
      <c r="A335" t="s">
        <v>72</v>
      </c>
      <c r="B335" s="85">
        <v>45991</v>
      </c>
      <c r="C335">
        <v>11</v>
      </c>
      <c r="D335" s="5">
        <f>+D334</f>
        <v>929045</v>
      </c>
      <c r="E335" s="5">
        <f t="shared" si="9"/>
        <v>0</v>
      </c>
      <c r="F335" s="5">
        <v>4444</v>
      </c>
      <c r="G335" s="5">
        <v>4319</v>
      </c>
      <c r="H335" s="5">
        <v>0</v>
      </c>
    </row>
    <row r="336" spans="1:15" x14ac:dyDescent="0.25">
      <c r="A336" t="s">
        <v>73</v>
      </c>
      <c r="B336" s="85">
        <v>45992</v>
      </c>
      <c r="C336">
        <v>12</v>
      </c>
      <c r="D336" s="5">
        <v>929539</v>
      </c>
      <c r="E336" s="5">
        <f t="shared" si="9"/>
        <v>494</v>
      </c>
      <c r="F336" s="5">
        <v>31806</v>
      </c>
      <c r="G336" s="5">
        <v>10434</v>
      </c>
      <c r="H336" s="5">
        <v>17453.68</v>
      </c>
      <c r="I336" s="5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</row>
    <row r="337" spans="1:15" x14ac:dyDescent="0.25">
      <c r="A337" t="s">
        <v>74</v>
      </c>
      <c r="B337" s="85">
        <v>45993</v>
      </c>
      <c r="C337">
        <v>12</v>
      </c>
      <c r="D337" s="5">
        <v>929967</v>
      </c>
      <c r="E337" s="5">
        <f t="shared" si="9"/>
        <v>428</v>
      </c>
      <c r="F337" s="5">
        <v>16700</v>
      </c>
      <c r="G337" s="5">
        <v>8261</v>
      </c>
      <c r="H337" s="5">
        <v>0</v>
      </c>
      <c r="I337" s="5">
        <v>6488.64</v>
      </c>
      <c r="J337" s="5">
        <v>1500</v>
      </c>
      <c r="K337" s="5">
        <v>140</v>
      </c>
      <c r="L337" s="5">
        <v>40730</v>
      </c>
      <c r="M337" s="5">
        <v>13</v>
      </c>
      <c r="N337" s="88">
        <f>+L337/M337</f>
        <v>3133.0769230769229</v>
      </c>
      <c r="O337" s="89">
        <f>L337/(I337-J337-K337)</f>
        <v>8.4002936906019006</v>
      </c>
    </row>
    <row r="338" spans="1:15" x14ac:dyDescent="0.25">
      <c r="A338" t="s">
        <v>68</v>
      </c>
      <c r="B338" s="85">
        <v>45994</v>
      </c>
      <c r="C338">
        <v>12</v>
      </c>
      <c r="D338" s="5">
        <v>930115</v>
      </c>
      <c r="E338" s="5">
        <f t="shared" si="9"/>
        <v>148</v>
      </c>
      <c r="F338" s="5">
        <v>18093</v>
      </c>
      <c r="G338" s="5">
        <v>7644</v>
      </c>
      <c r="H338" s="5">
        <v>3302.71</v>
      </c>
      <c r="I338" s="5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</row>
    <row r="339" spans="1:15" x14ac:dyDescent="0.25">
      <c r="A339" t="s">
        <v>69</v>
      </c>
      <c r="B339" s="85">
        <v>45995</v>
      </c>
      <c r="C339">
        <v>12</v>
      </c>
      <c r="D339" s="5">
        <v>930334</v>
      </c>
      <c r="E339" s="5">
        <f t="shared" si="9"/>
        <v>219</v>
      </c>
      <c r="F339" s="5">
        <v>25360</v>
      </c>
      <c r="G339" s="5">
        <v>10121</v>
      </c>
      <c r="H339" s="5">
        <v>20590</v>
      </c>
      <c r="I339" s="5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</row>
    <row r="340" spans="1:15" x14ac:dyDescent="0.25">
      <c r="A340" t="s">
        <v>70</v>
      </c>
      <c r="B340" s="85">
        <v>45996</v>
      </c>
      <c r="C340">
        <v>12</v>
      </c>
      <c r="D340" s="5">
        <v>930680</v>
      </c>
      <c r="E340" s="5">
        <f t="shared" si="9"/>
        <v>346</v>
      </c>
      <c r="F340" s="5">
        <v>8615</v>
      </c>
      <c r="G340" s="5">
        <v>6656</v>
      </c>
      <c r="H340" s="5">
        <v>0</v>
      </c>
      <c r="I340" s="5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</row>
    <row r="341" spans="1:15" x14ac:dyDescent="0.25">
      <c r="A341" t="s">
        <v>71</v>
      </c>
      <c r="B341" s="85">
        <v>45997</v>
      </c>
      <c r="C341">
        <v>12</v>
      </c>
      <c r="D341" s="5">
        <f>+D340</f>
        <v>930680</v>
      </c>
      <c r="E341" s="5">
        <f t="shared" si="9"/>
        <v>0</v>
      </c>
      <c r="F341" s="5">
        <v>2706</v>
      </c>
      <c r="G341" s="5">
        <v>4876</v>
      </c>
      <c r="H341" s="5">
        <v>0</v>
      </c>
      <c r="I341" s="5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</row>
    <row r="342" spans="1:15" x14ac:dyDescent="0.25">
      <c r="A342" t="s">
        <v>72</v>
      </c>
      <c r="B342" s="85">
        <v>45998</v>
      </c>
      <c r="C342">
        <v>12</v>
      </c>
      <c r="D342" s="5">
        <f>+D341</f>
        <v>930680</v>
      </c>
      <c r="E342" s="5">
        <f t="shared" si="9"/>
        <v>0</v>
      </c>
      <c r="F342" s="5">
        <v>3106</v>
      </c>
      <c r="G342" s="5">
        <v>4810</v>
      </c>
      <c r="H342" s="5">
        <v>0</v>
      </c>
      <c r="I342" s="5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</row>
    <row r="343" spans="1:15" x14ac:dyDescent="0.25">
      <c r="A343" t="s">
        <v>73</v>
      </c>
      <c r="B343" s="85">
        <v>45999</v>
      </c>
      <c r="C343">
        <v>12</v>
      </c>
      <c r="D343" s="5">
        <v>930810</v>
      </c>
      <c r="E343" s="5">
        <f t="shared" si="9"/>
        <v>130</v>
      </c>
      <c r="F343" s="5">
        <v>12634</v>
      </c>
      <c r="G343" s="5">
        <v>4872</v>
      </c>
      <c r="H343" s="5">
        <v>0</v>
      </c>
      <c r="I343" s="5">
        <v>0</v>
      </c>
      <c r="J343" s="88">
        <v>0</v>
      </c>
      <c r="K343" s="88">
        <v>0</v>
      </c>
      <c r="L343" s="88">
        <v>0</v>
      </c>
      <c r="M343" s="88">
        <v>0</v>
      </c>
      <c r="N343" s="88">
        <v>0</v>
      </c>
      <c r="O343" s="88">
        <v>0</v>
      </c>
    </row>
    <row r="344" spans="1:15" x14ac:dyDescent="0.25">
      <c r="A344" t="s">
        <v>74</v>
      </c>
      <c r="B344" s="85">
        <v>46000</v>
      </c>
      <c r="C344">
        <v>12</v>
      </c>
      <c r="D344" s="5">
        <v>930862</v>
      </c>
      <c r="E344" s="5">
        <f t="shared" si="9"/>
        <v>52</v>
      </c>
      <c r="F344" s="5">
        <v>26528</v>
      </c>
      <c r="G344" s="5">
        <v>12409</v>
      </c>
      <c r="H344" s="5">
        <v>19100.400000000001</v>
      </c>
      <c r="I344" s="5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</row>
    <row r="345" spans="1:15" x14ac:dyDescent="0.25">
      <c r="A345" t="s">
        <v>68</v>
      </c>
      <c r="B345" s="85">
        <v>46001</v>
      </c>
      <c r="C345">
        <v>12</v>
      </c>
      <c r="D345" s="5">
        <v>931327</v>
      </c>
      <c r="E345" s="5">
        <f t="shared" si="9"/>
        <v>465</v>
      </c>
      <c r="F345" s="5">
        <v>13566</v>
      </c>
      <c r="G345" s="5">
        <v>6784</v>
      </c>
      <c r="H345" s="5">
        <v>0</v>
      </c>
      <c r="I345" s="5">
        <v>0</v>
      </c>
      <c r="J345" s="88">
        <v>0</v>
      </c>
      <c r="K345" s="88">
        <v>0</v>
      </c>
      <c r="L345" s="88">
        <v>0</v>
      </c>
      <c r="M345" s="88">
        <v>0</v>
      </c>
      <c r="N345" s="88">
        <v>0</v>
      </c>
      <c r="O345" s="88">
        <v>0</v>
      </c>
    </row>
    <row r="346" spans="1:15" x14ac:dyDescent="0.25">
      <c r="A346" t="s">
        <v>69</v>
      </c>
      <c r="B346" s="85">
        <v>46002</v>
      </c>
      <c r="C346">
        <v>12</v>
      </c>
      <c r="D346" s="5">
        <v>931358</v>
      </c>
      <c r="E346" s="5">
        <f t="shared" si="9"/>
        <v>31</v>
      </c>
      <c r="F346" s="5">
        <v>23028</v>
      </c>
      <c r="G346" s="5">
        <v>10300</v>
      </c>
      <c r="H346" s="5">
        <v>17178.18</v>
      </c>
      <c r="I346" s="5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</row>
    <row r="347" spans="1:15" x14ac:dyDescent="0.25">
      <c r="A347" t="s">
        <v>70</v>
      </c>
      <c r="B347" s="85">
        <v>46003</v>
      </c>
      <c r="C347">
        <v>12</v>
      </c>
      <c r="D347" s="5">
        <v>931864</v>
      </c>
      <c r="E347" s="5">
        <f t="shared" si="9"/>
        <v>506</v>
      </c>
      <c r="F347" s="5">
        <v>12842</v>
      </c>
      <c r="G347" s="5">
        <v>8429</v>
      </c>
      <c r="H347" s="5">
        <v>0</v>
      </c>
      <c r="I347" s="5">
        <v>4705.57</v>
      </c>
      <c r="J347" s="88">
        <v>800</v>
      </c>
      <c r="K347" s="88">
        <v>40</v>
      </c>
      <c r="L347" s="88">
        <v>25280</v>
      </c>
      <c r="M347" s="88">
        <v>8</v>
      </c>
      <c r="N347" s="88">
        <f>+L347/M347</f>
        <v>3160</v>
      </c>
      <c r="O347" s="89">
        <f>L347/(I347-J347-K347)</f>
        <v>6.5397858530565998</v>
      </c>
    </row>
    <row r="348" spans="1:15" x14ac:dyDescent="0.25">
      <c r="A348" t="s">
        <v>71</v>
      </c>
      <c r="B348" s="85">
        <v>46004</v>
      </c>
      <c r="C348">
        <v>12</v>
      </c>
      <c r="D348" s="5">
        <f>+D347</f>
        <v>931864</v>
      </c>
      <c r="E348" s="5">
        <f t="shared" si="9"/>
        <v>0</v>
      </c>
      <c r="F348" s="5">
        <v>3412</v>
      </c>
      <c r="G348" s="5">
        <v>5272</v>
      </c>
      <c r="H348" s="5">
        <v>0</v>
      </c>
      <c r="I348" s="5">
        <v>0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</row>
    <row r="349" spans="1:15" x14ac:dyDescent="0.25">
      <c r="A349" t="s">
        <v>72</v>
      </c>
      <c r="B349" s="85">
        <v>46005</v>
      </c>
      <c r="C349">
        <v>12</v>
      </c>
      <c r="D349" s="5">
        <f>+D348</f>
        <v>931864</v>
      </c>
      <c r="E349" s="5">
        <f t="shared" si="9"/>
        <v>0</v>
      </c>
      <c r="F349" s="5">
        <v>3647</v>
      </c>
      <c r="G349" s="5">
        <v>5127</v>
      </c>
      <c r="H349" s="5">
        <v>0</v>
      </c>
      <c r="I349" s="5">
        <v>0</v>
      </c>
      <c r="J349" s="88">
        <v>0</v>
      </c>
      <c r="K349" s="88">
        <v>0</v>
      </c>
      <c r="L349" s="88">
        <v>0</v>
      </c>
      <c r="M349" s="88">
        <v>0</v>
      </c>
      <c r="N349" s="88">
        <v>0</v>
      </c>
      <c r="O349" s="88">
        <v>0</v>
      </c>
    </row>
    <row r="350" spans="1:15" x14ac:dyDescent="0.25">
      <c r="A350" t="s">
        <v>73</v>
      </c>
      <c r="B350" s="85">
        <v>46006</v>
      </c>
      <c r="C350">
        <v>12</v>
      </c>
      <c r="D350" s="5">
        <v>932053</v>
      </c>
      <c r="E350" s="5">
        <f t="shared" si="9"/>
        <v>189</v>
      </c>
      <c r="F350" s="5">
        <v>27722</v>
      </c>
      <c r="G350" s="5">
        <v>11606</v>
      </c>
      <c r="H350" s="5">
        <v>18787.36</v>
      </c>
      <c r="I350" s="5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</row>
    <row r="351" spans="1:15" x14ac:dyDescent="0.25">
      <c r="A351" t="s">
        <v>74</v>
      </c>
      <c r="B351" s="85">
        <v>46007</v>
      </c>
      <c r="C351">
        <v>12</v>
      </c>
      <c r="D351" s="5">
        <v>932474</v>
      </c>
      <c r="E351" s="5">
        <f t="shared" si="9"/>
        <v>421</v>
      </c>
      <c r="F351" s="5">
        <v>14281</v>
      </c>
      <c r="G351" s="5">
        <v>7259</v>
      </c>
      <c r="H351" s="5">
        <v>0</v>
      </c>
      <c r="I351" s="5">
        <v>7570.96</v>
      </c>
      <c r="J351" s="88">
        <v>1750</v>
      </c>
      <c r="K351" s="88">
        <v>0</v>
      </c>
      <c r="L351" s="88">
        <v>44000</v>
      </c>
      <c r="M351" s="88">
        <v>13</v>
      </c>
      <c r="N351" s="88">
        <f>+L351/M351</f>
        <v>3384.6153846153848</v>
      </c>
      <c r="O351" s="89">
        <f>L351/(I351-J351-K351)</f>
        <v>7.5588906297243064</v>
      </c>
    </row>
    <row r="352" spans="1:15" x14ac:dyDescent="0.25">
      <c r="A352" t="s">
        <v>68</v>
      </c>
      <c r="B352" s="85">
        <v>46008</v>
      </c>
      <c r="C352">
        <v>12</v>
      </c>
      <c r="D352" s="5">
        <v>932608</v>
      </c>
      <c r="E352" s="5">
        <f t="shared" si="9"/>
        <v>134</v>
      </c>
      <c r="F352" s="5">
        <v>12255</v>
      </c>
      <c r="G352" s="5">
        <v>6502</v>
      </c>
      <c r="H352" s="5">
        <v>0</v>
      </c>
      <c r="I352" s="5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</row>
    <row r="353" spans="1:15" x14ac:dyDescent="0.25">
      <c r="A353" t="s">
        <v>69</v>
      </c>
      <c r="B353" s="85">
        <v>46009</v>
      </c>
      <c r="C353">
        <v>12</v>
      </c>
      <c r="D353" s="5">
        <v>932699</v>
      </c>
      <c r="E353" s="5">
        <f t="shared" si="9"/>
        <v>91</v>
      </c>
      <c r="F353" s="5">
        <v>23583</v>
      </c>
      <c r="G353" s="5">
        <v>11111</v>
      </c>
      <c r="H353" s="5">
        <v>19216</v>
      </c>
      <c r="I353" s="5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</row>
    <row r="354" spans="1:15" x14ac:dyDescent="0.25">
      <c r="A354" t="s">
        <v>70</v>
      </c>
      <c r="B354" s="85">
        <v>46010</v>
      </c>
      <c r="C354">
        <v>12</v>
      </c>
      <c r="D354" s="5">
        <v>933112</v>
      </c>
      <c r="E354" s="5">
        <f t="shared" si="9"/>
        <v>413</v>
      </c>
      <c r="F354" s="5">
        <v>7669</v>
      </c>
      <c r="G354" s="5">
        <v>7485</v>
      </c>
      <c r="H354" s="5">
        <v>0</v>
      </c>
      <c r="I354" s="5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</row>
    <row r="355" spans="1:15" x14ac:dyDescent="0.25">
      <c r="A355" t="s">
        <v>71</v>
      </c>
      <c r="B355" s="85">
        <v>46011</v>
      </c>
      <c r="C355">
        <v>12</v>
      </c>
      <c r="D355" s="5">
        <f>+D354</f>
        <v>933112</v>
      </c>
      <c r="E355" s="5">
        <f t="shared" si="9"/>
        <v>0</v>
      </c>
      <c r="F355" s="5">
        <v>3439</v>
      </c>
      <c r="G355" s="5">
        <v>4772</v>
      </c>
      <c r="H355" s="5">
        <v>0</v>
      </c>
      <c r="I355" s="5">
        <v>0</v>
      </c>
      <c r="J355" s="88">
        <v>0</v>
      </c>
      <c r="K355" s="88">
        <v>0</v>
      </c>
      <c r="L355" s="88">
        <v>0</v>
      </c>
      <c r="M355" s="88">
        <v>0</v>
      </c>
      <c r="N355" s="88">
        <v>0</v>
      </c>
      <c r="O355" s="88">
        <v>0</v>
      </c>
    </row>
    <row r="356" spans="1:15" x14ac:dyDescent="0.25">
      <c r="A356" t="s">
        <v>72</v>
      </c>
      <c r="B356" s="85">
        <v>46012</v>
      </c>
      <c r="C356">
        <v>12</v>
      </c>
      <c r="D356" s="5">
        <f>+D355</f>
        <v>933112</v>
      </c>
      <c r="E356" s="5">
        <f t="shared" si="9"/>
        <v>0</v>
      </c>
      <c r="F356" s="5">
        <v>4586</v>
      </c>
      <c r="G356" s="5">
        <v>4470</v>
      </c>
      <c r="H356" s="5">
        <v>0</v>
      </c>
      <c r="I356" s="5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</row>
    <row r="357" spans="1:15" x14ac:dyDescent="0.25">
      <c r="A357" t="s">
        <v>73</v>
      </c>
      <c r="B357" s="85">
        <v>46013</v>
      </c>
      <c r="C357">
        <v>12</v>
      </c>
      <c r="D357" s="5">
        <v>933252</v>
      </c>
      <c r="E357" s="5">
        <f t="shared" si="9"/>
        <v>140</v>
      </c>
      <c r="F357" s="5">
        <v>19264</v>
      </c>
      <c r="G357" s="5">
        <v>6766</v>
      </c>
      <c r="H357" s="5">
        <v>0</v>
      </c>
      <c r="I357" s="5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</row>
    <row r="358" spans="1:15" x14ac:dyDescent="0.25">
      <c r="A358" t="s">
        <v>74</v>
      </c>
      <c r="B358" s="85">
        <v>46014</v>
      </c>
      <c r="C358">
        <v>12</v>
      </c>
      <c r="D358" s="5">
        <v>933391</v>
      </c>
      <c r="E358" s="5">
        <f t="shared" si="9"/>
        <v>139</v>
      </c>
      <c r="F358" s="5">
        <v>29008</v>
      </c>
      <c r="G358" s="5">
        <v>11697</v>
      </c>
      <c r="H358" s="5">
        <v>28892.6</v>
      </c>
      <c r="I358" s="5">
        <v>0</v>
      </c>
      <c r="J358" s="88">
        <v>0</v>
      </c>
      <c r="K358" s="88">
        <v>0</v>
      </c>
      <c r="L358" s="88">
        <v>0</v>
      </c>
      <c r="M358" s="88">
        <v>0</v>
      </c>
      <c r="N358" s="88">
        <v>0</v>
      </c>
      <c r="O358" s="88">
        <v>0</v>
      </c>
    </row>
    <row r="359" spans="1:15" x14ac:dyDescent="0.25">
      <c r="A359" t="s">
        <v>68</v>
      </c>
      <c r="B359" s="85">
        <v>46015</v>
      </c>
      <c r="C359">
        <v>12</v>
      </c>
      <c r="D359" s="5">
        <v>933880</v>
      </c>
      <c r="E359" s="5">
        <f t="shared" si="9"/>
        <v>489</v>
      </c>
      <c r="F359" s="5">
        <v>8244</v>
      </c>
      <c r="G359" s="5">
        <v>7729</v>
      </c>
      <c r="H359" s="5">
        <v>0</v>
      </c>
      <c r="I359" s="5">
        <v>0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</row>
    <row r="360" spans="1:15" x14ac:dyDescent="0.25">
      <c r="A360" t="s">
        <v>69</v>
      </c>
      <c r="B360" s="85">
        <v>46016</v>
      </c>
      <c r="C360">
        <v>12</v>
      </c>
      <c r="D360" s="5">
        <f>+D359</f>
        <v>933880</v>
      </c>
      <c r="E360" s="5">
        <f t="shared" si="9"/>
        <v>0</v>
      </c>
      <c r="F360" s="5">
        <v>5339</v>
      </c>
      <c r="G360" s="5">
        <v>4912</v>
      </c>
      <c r="H360" s="5">
        <v>0</v>
      </c>
      <c r="I360" s="5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</row>
    <row r="361" spans="1:15" x14ac:dyDescent="0.25">
      <c r="A361" t="s">
        <v>70</v>
      </c>
      <c r="B361" s="85">
        <v>46017</v>
      </c>
      <c r="C361">
        <v>12</v>
      </c>
      <c r="D361" s="5">
        <v>934186</v>
      </c>
      <c r="E361" s="5">
        <f t="shared" si="9"/>
        <v>306</v>
      </c>
      <c r="F361" s="5">
        <v>13870</v>
      </c>
      <c r="G361" s="5">
        <v>5704</v>
      </c>
      <c r="H361" s="5">
        <v>0</v>
      </c>
      <c r="I361" s="5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</row>
    <row r="362" spans="1:15" x14ac:dyDescent="0.25">
      <c r="A362" t="s">
        <v>71</v>
      </c>
      <c r="B362" s="85">
        <v>46018</v>
      </c>
      <c r="C362">
        <v>12</v>
      </c>
      <c r="D362" s="5">
        <f>+D361</f>
        <v>934186</v>
      </c>
      <c r="E362" s="5">
        <f t="shared" si="9"/>
        <v>0</v>
      </c>
      <c r="F362" s="5">
        <v>3931</v>
      </c>
      <c r="G362" s="5">
        <v>4214</v>
      </c>
      <c r="H362" s="5">
        <v>0</v>
      </c>
      <c r="I362" s="5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</row>
    <row r="363" spans="1:15" x14ac:dyDescent="0.25">
      <c r="A363" t="s">
        <v>72</v>
      </c>
      <c r="B363" s="85">
        <v>46019</v>
      </c>
      <c r="C363">
        <v>12</v>
      </c>
      <c r="D363" s="5">
        <f>+D362</f>
        <v>934186</v>
      </c>
      <c r="E363" s="5">
        <f t="shared" si="9"/>
        <v>0</v>
      </c>
      <c r="F363" s="5">
        <v>4411</v>
      </c>
      <c r="G363" s="5">
        <v>4177</v>
      </c>
      <c r="H363" s="5">
        <v>0</v>
      </c>
      <c r="I363" s="5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</row>
    <row r="364" spans="1:15" x14ac:dyDescent="0.25">
      <c r="A364" t="s">
        <v>73</v>
      </c>
      <c r="B364" s="85">
        <v>46020</v>
      </c>
      <c r="C364">
        <v>12</v>
      </c>
      <c r="D364" s="5">
        <v>934351</v>
      </c>
      <c r="E364" s="5">
        <f t="shared" si="9"/>
        <v>165</v>
      </c>
      <c r="F364" s="5">
        <v>29949</v>
      </c>
      <c r="G364" s="5">
        <v>11021</v>
      </c>
      <c r="H364" s="5">
        <v>24434.63</v>
      </c>
      <c r="I364" s="5">
        <v>0</v>
      </c>
      <c r="J364" s="88">
        <v>0</v>
      </c>
      <c r="K364" s="88">
        <v>0</v>
      </c>
      <c r="L364" s="88">
        <v>0</v>
      </c>
      <c r="M364" s="88">
        <v>0</v>
      </c>
      <c r="N364" s="88">
        <v>0</v>
      </c>
      <c r="O364" s="88">
        <v>0</v>
      </c>
    </row>
    <row r="365" spans="1:15" x14ac:dyDescent="0.25">
      <c r="A365" t="s">
        <v>74</v>
      </c>
      <c r="B365" s="85">
        <v>46021</v>
      </c>
      <c r="C365">
        <v>12</v>
      </c>
      <c r="D365" s="5">
        <v>934801</v>
      </c>
      <c r="E365" s="5">
        <f t="shared" si="9"/>
        <v>450</v>
      </c>
      <c r="F365" s="5">
        <v>28183</v>
      </c>
      <c r="G365" s="5">
        <v>14108</v>
      </c>
      <c r="H365" s="5">
        <v>22692</v>
      </c>
      <c r="I365" s="5">
        <v>0</v>
      </c>
      <c r="J365" s="88">
        <v>0</v>
      </c>
      <c r="K365" s="88">
        <v>0</v>
      </c>
      <c r="L365" s="88">
        <v>0</v>
      </c>
      <c r="M365" s="88">
        <v>0</v>
      </c>
      <c r="N365" s="88">
        <v>0</v>
      </c>
      <c r="O365" s="88">
        <v>0</v>
      </c>
    </row>
    <row r="366" spans="1:15" x14ac:dyDescent="0.25">
      <c r="A366" t="s">
        <v>68</v>
      </c>
      <c r="B366" s="85">
        <v>46022</v>
      </c>
      <c r="C366">
        <v>12</v>
      </c>
      <c r="D366" s="5">
        <v>935291</v>
      </c>
      <c r="E366" s="5">
        <f t="shared" si="9"/>
        <v>490</v>
      </c>
      <c r="F366" s="5">
        <v>9358</v>
      </c>
      <c r="G366" s="5">
        <v>7933</v>
      </c>
      <c r="H366" s="5">
        <v>0</v>
      </c>
      <c r="I366" s="5">
        <v>0</v>
      </c>
      <c r="J366" s="88">
        <v>0</v>
      </c>
      <c r="K366" s="88">
        <v>0</v>
      </c>
      <c r="L366" s="88">
        <v>0</v>
      </c>
      <c r="M366" s="88">
        <v>0</v>
      </c>
      <c r="N366" s="88">
        <v>0</v>
      </c>
      <c r="O366" s="8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EB6DE-986B-4858-BB1A-C1F3C8BE7AA9}">
  <dimension ref="A1:Q366"/>
  <sheetViews>
    <sheetView topLeftCell="A92" workbookViewId="0">
      <selection activeCell="F127" sqref="F127"/>
    </sheetView>
  </sheetViews>
  <sheetFormatPr baseColWidth="10" defaultRowHeight="15" x14ac:dyDescent="0.25"/>
  <cols>
    <col min="1" max="1" width="9.7109375" bestFit="1" customWidth="1"/>
    <col min="2" max="2" width="10.42578125" bestFit="1" customWidth="1"/>
    <col min="3" max="3" width="4.7109375" bestFit="1" customWidth="1"/>
    <col min="4" max="4" width="9.42578125" bestFit="1" customWidth="1"/>
    <col min="5" max="7" width="9.7109375" bestFit="1" customWidth="1"/>
    <col min="8" max="8" width="9.85546875" bestFit="1" customWidth="1"/>
    <col min="9" max="9" width="6.7109375" bestFit="1" customWidth="1"/>
    <col min="10" max="10" width="6.7109375" customWidth="1"/>
    <col min="11" max="11" width="5.140625" bestFit="1" customWidth="1"/>
    <col min="12" max="12" width="6.5703125" bestFit="1" customWidth="1"/>
    <col min="13" max="13" width="4.7109375" bestFit="1" customWidth="1"/>
    <col min="14" max="14" width="8.140625" bestFit="1" customWidth="1"/>
    <col min="15" max="15" width="6.140625" customWidth="1"/>
  </cols>
  <sheetData>
    <row r="1" spans="1:17" ht="45" x14ac:dyDescent="0.25">
      <c r="A1" s="82" t="s">
        <v>53</v>
      </c>
      <c r="B1" s="82" t="s">
        <v>54</v>
      </c>
      <c r="C1" s="82" t="s">
        <v>55</v>
      </c>
      <c r="D1" s="83" t="s">
        <v>56</v>
      </c>
      <c r="E1" s="82" t="s">
        <v>57</v>
      </c>
      <c r="F1" s="82" t="s">
        <v>58</v>
      </c>
      <c r="G1" s="82" t="s">
        <v>59</v>
      </c>
      <c r="H1" s="82" t="s">
        <v>60</v>
      </c>
      <c r="I1" s="82" t="s">
        <v>61</v>
      </c>
      <c r="J1" s="84" t="s">
        <v>62</v>
      </c>
      <c r="K1" s="84" t="s">
        <v>63</v>
      </c>
      <c r="L1" s="84" t="s">
        <v>64</v>
      </c>
      <c r="M1" s="84" t="s">
        <v>65</v>
      </c>
      <c r="N1" s="84" t="s">
        <v>66</v>
      </c>
      <c r="O1" s="84" t="s">
        <v>67</v>
      </c>
    </row>
    <row r="2" spans="1:17" x14ac:dyDescent="0.25">
      <c r="A2" t="s">
        <v>69</v>
      </c>
      <c r="B2" s="85">
        <v>46023</v>
      </c>
      <c r="C2" s="86">
        <f>MONTH(B2)</f>
        <v>1</v>
      </c>
      <c r="D2" s="5">
        <v>935436</v>
      </c>
      <c r="E2" s="5">
        <v>0</v>
      </c>
      <c r="F2" s="5">
        <v>4815</v>
      </c>
      <c r="G2" s="5">
        <v>4619</v>
      </c>
      <c r="H2" s="5">
        <v>0</v>
      </c>
      <c r="I2" s="5"/>
      <c r="J2" s="88"/>
      <c r="K2" s="88"/>
      <c r="L2" s="88"/>
      <c r="M2" s="88"/>
      <c r="N2" s="88">
        <v>0</v>
      </c>
      <c r="O2" s="88">
        <v>0</v>
      </c>
    </row>
    <row r="3" spans="1:17" x14ac:dyDescent="0.25">
      <c r="A3" t="s">
        <v>70</v>
      </c>
      <c r="B3" s="85">
        <v>46024</v>
      </c>
      <c r="C3" s="86">
        <f t="shared" ref="C3:C66" si="0">MONTH(B3)</f>
        <v>1</v>
      </c>
      <c r="D3" s="5">
        <v>935574</v>
      </c>
      <c r="E3" s="5">
        <f t="shared" ref="E3:E66" si="1">+D3-D2</f>
        <v>138</v>
      </c>
      <c r="F3" s="5">
        <v>16858</v>
      </c>
      <c r="G3" s="5">
        <v>5896</v>
      </c>
      <c r="H3" s="5">
        <v>0</v>
      </c>
      <c r="I3" s="5"/>
      <c r="J3" s="88"/>
      <c r="K3" s="88"/>
      <c r="L3" s="88"/>
      <c r="M3" s="88"/>
      <c r="N3" s="88">
        <v>0</v>
      </c>
      <c r="O3" s="88">
        <v>0</v>
      </c>
    </row>
    <row r="4" spans="1:17" x14ac:dyDescent="0.25">
      <c r="A4" t="s">
        <v>71</v>
      </c>
      <c r="B4" s="85">
        <v>46025</v>
      </c>
      <c r="C4" s="86">
        <f t="shared" si="0"/>
        <v>1</v>
      </c>
      <c r="D4" s="5">
        <f>+D3</f>
        <v>935574</v>
      </c>
      <c r="E4" s="5">
        <f t="shared" si="1"/>
        <v>0</v>
      </c>
      <c r="F4" s="5">
        <v>4409</v>
      </c>
      <c r="G4" s="5">
        <v>5149</v>
      </c>
      <c r="H4" s="5">
        <v>0</v>
      </c>
      <c r="I4" s="5"/>
      <c r="J4" s="88"/>
      <c r="K4" s="88"/>
      <c r="L4" s="88"/>
      <c r="M4" s="88"/>
      <c r="N4" s="88" t="e">
        <f>+L4/M4</f>
        <v>#DIV/0!</v>
      </c>
      <c r="O4" s="89" t="e">
        <f>L4/(I4-J4-K4)</f>
        <v>#DIV/0!</v>
      </c>
    </row>
    <row r="5" spans="1:17" x14ac:dyDescent="0.25">
      <c r="A5" t="s">
        <v>72</v>
      </c>
      <c r="B5" s="85">
        <v>46026</v>
      </c>
      <c r="C5" s="86">
        <f t="shared" si="0"/>
        <v>1</v>
      </c>
      <c r="D5" s="5">
        <v>935658</v>
      </c>
      <c r="E5" s="5">
        <f t="shared" si="1"/>
        <v>84</v>
      </c>
      <c r="F5" s="5">
        <v>3255</v>
      </c>
      <c r="G5" s="5">
        <v>4694</v>
      </c>
      <c r="H5" s="5">
        <v>0</v>
      </c>
      <c r="I5" s="5"/>
      <c r="J5" s="88"/>
      <c r="K5" s="88"/>
      <c r="L5" s="88"/>
      <c r="M5" s="88"/>
      <c r="N5" s="88">
        <v>0</v>
      </c>
      <c r="O5" s="88">
        <v>0</v>
      </c>
    </row>
    <row r="6" spans="1:17" x14ac:dyDescent="0.25">
      <c r="A6" t="s">
        <v>73</v>
      </c>
      <c r="B6" s="85">
        <v>46027</v>
      </c>
      <c r="C6" s="86">
        <f t="shared" si="0"/>
        <v>1</v>
      </c>
      <c r="D6" s="5">
        <v>936128</v>
      </c>
      <c r="E6" s="5">
        <f t="shared" si="1"/>
        <v>470</v>
      </c>
      <c r="F6" s="5">
        <v>31269</v>
      </c>
      <c r="G6" s="5">
        <v>11592</v>
      </c>
      <c r="H6" s="5">
        <v>23960.080000000002</v>
      </c>
      <c r="I6" s="5"/>
      <c r="J6" s="88"/>
      <c r="K6" s="88"/>
      <c r="L6" s="88"/>
      <c r="M6" s="88"/>
      <c r="N6" s="88">
        <v>0</v>
      </c>
      <c r="O6" s="88">
        <v>0</v>
      </c>
      <c r="Q6">
        <f>+E6*1000/H6</f>
        <v>19.615961215488429</v>
      </c>
    </row>
    <row r="7" spans="1:17" x14ac:dyDescent="0.25">
      <c r="A7" t="s">
        <v>74</v>
      </c>
      <c r="B7" s="85">
        <v>46028</v>
      </c>
      <c r="C7" s="86">
        <f t="shared" si="0"/>
        <v>1</v>
      </c>
      <c r="D7" s="5">
        <v>936128</v>
      </c>
      <c r="E7" s="5">
        <f t="shared" si="1"/>
        <v>0</v>
      </c>
      <c r="F7" s="5">
        <v>13267</v>
      </c>
      <c r="G7" s="5">
        <v>6172</v>
      </c>
      <c r="H7" s="5"/>
      <c r="I7" s="5"/>
      <c r="J7" s="88"/>
      <c r="K7" s="88"/>
      <c r="L7" s="88"/>
      <c r="M7" s="88"/>
      <c r="N7" s="88">
        <v>0</v>
      </c>
      <c r="O7" s="88">
        <v>0</v>
      </c>
    </row>
    <row r="8" spans="1:17" x14ac:dyDescent="0.25">
      <c r="A8" t="s">
        <v>68</v>
      </c>
      <c r="B8" s="85">
        <v>46029</v>
      </c>
      <c r="C8" s="86">
        <f t="shared" si="0"/>
        <v>1</v>
      </c>
      <c r="D8" s="5">
        <v>936575</v>
      </c>
      <c r="E8" s="5">
        <f t="shared" si="1"/>
        <v>447</v>
      </c>
      <c r="F8" s="5">
        <v>33480</v>
      </c>
      <c r="G8" s="5">
        <v>12642</v>
      </c>
      <c r="H8" s="5">
        <v>34862.19</v>
      </c>
      <c r="I8" s="5"/>
      <c r="J8" s="88"/>
      <c r="K8" s="88"/>
      <c r="L8" s="88"/>
      <c r="M8" s="88"/>
      <c r="N8" s="88">
        <v>0</v>
      </c>
      <c r="O8" s="88">
        <v>0</v>
      </c>
      <c r="Q8">
        <f>+E8*1000/H8</f>
        <v>12.821913941723109</v>
      </c>
    </row>
    <row r="9" spans="1:17" x14ac:dyDescent="0.25">
      <c r="A9" t="s">
        <v>69</v>
      </c>
      <c r="B9" s="85">
        <v>46030</v>
      </c>
      <c r="C9" s="86">
        <f t="shared" si="0"/>
        <v>1</v>
      </c>
      <c r="D9" s="5">
        <v>937020</v>
      </c>
      <c r="E9" s="5">
        <f t="shared" si="1"/>
        <v>445</v>
      </c>
      <c r="F9" s="5">
        <v>17063</v>
      </c>
      <c r="G9" s="5">
        <v>10809</v>
      </c>
      <c r="H9" s="5"/>
      <c r="I9" s="5"/>
      <c r="J9" s="88"/>
      <c r="K9" s="88"/>
      <c r="L9" s="88"/>
      <c r="M9" s="88"/>
      <c r="N9" s="88">
        <v>0</v>
      </c>
      <c r="O9" s="88">
        <v>0</v>
      </c>
    </row>
    <row r="10" spans="1:17" x14ac:dyDescent="0.25">
      <c r="A10" t="s">
        <v>70</v>
      </c>
      <c r="B10" s="85">
        <v>46031</v>
      </c>
      <c r="C10" s="86">
        <f t="shared" si="0"/>
        <v>1</v>
      </c>
      <c r="D10" s="5">
        <v>937569</v>
      </c>
      <c r="E10" s="5">
        <f t="shared" si="1"/>
        <v>549</v>
      </c>
      <c r="F10" s="5">
        <v>23555</v>
      </c>
      <c r="G10" s="5">
        <v>12552</v>
      </c>
      <c r="H10" s="5">
        <v>23231.79</v>
      </c>
      <c r="I10" s="5"/>
      <c r="J10" s="88"/>
      <c r="K10" s="88"/>
      <c r="L10" s="88"/>
      <c r="M10" s="88"/>
      <c r="N10" s="88" t="e">
        <f>+L10/M10</f>
        <v>#DIV/0!</v>
      </c>
      <c r="O10" s="89" t="e">
        <f>L10/(I10-J10-K10)</f>
        <v>#DIV/0!</v>
      </c>
      <c r="Q10">
        <f>+E10*1000/H10</f>
        <v>23.63141195749445</v>
      </c>
    </row>
    <row r="11" spans="1:17" x14ac:dyDescent="0.25">
      <c r="A11" t="s">
        <v>71</v>
      </c>
      <c r="B11" s="85">
        <v>46032</v>
      </c>
      <c r="C11" s="86">
        <f t="shared" si="0"/>
        <v>1</v>
      </c>
      <c r="D11" s="5">
        <v>937569</v>
      </c>
      <c r="E11" s="5">
        <f t="shared" si="1"/>
        <v>0</v>
      </c>
      <c r="F11" s="5">
        <v>3852</v>
      </c>
      <c r="G11" s="5">
        <v>5820</v>
      </c>
      <c r="H11" s="5"/>
      <c r="I11" s="5"/>
      <c r="J11" s="88"/>
      <c r="K11" s="88"/>
      <c r="L11" s="88"/>
      <c r="M11" s="88"/>
      <c r="N11" s="88">
        <v>0</v>
      </c>
      <c r="O11" s="88">
        <v>0</v>
      </c>
    </row>
    <row r="12" spans="1:17" x14ac:dyDescent="0.25">
      <c r="A12" t="s">
        <v>72</v>
      </c>
      <c r="B12" s="85">
        <v>46033</v>
      </c>
      <c r="C12" s="86">
        <f t="shared" si="0"/>
        <v>1</v>
      </c>
      <c r="D12" s="5">
        <v>937826</v>
      </c>
      <c r="E12" s="5">
        <f t="shared" si="1"/>
        <v>257</v>
      </c>
      <c r="F12" s="5">
        <v>1560</v>
      </c>
      <c r="G12" s="5">
        <v>4741</v>
      </c>
      <c r="H12" s="5"/>
      <c r="I12" s="5"/>
      <c r="J12" s="88"/>
      <c r="K12" s="88"/>
      <c r="L12" s="88"/>
      <c r="M12" s="88"/>
      <c r="N12" s="88">
        <v>0</v>
      </c>
      <c r="O12" s="88">
        <v>0</v>
      </c>
    </row>
    <row r="13" spans="1:17" x14ac:dyDescent="0.25">
      <c r="A13" t="s">
        <v>73</v>
      </c>
      <c r="B13" s="85">
        <v>46034</v>
      </c>
      <c r="C13" s="86">
        <f t="shared" si="0"/>
        <v>1</v>
      </c>
      <c r="D13" s="5">
        <v>938295</v>
      </c>
      <c r="E13" s="5">
        <f t="shared" si="1"/>
        <v>469</v>
      </c>
      <c r="F13" s="5">
        <v>31852</v>
      </c>
      <c r="G13" s="5">
        <v>12006</v>
      </c>
      <c r="H13" s="5">
        <v>30451.5</v>
      </c>
      <c r="I13" s="5"/>
      <c r="J13" s="88"/>
      <c r="K13" s="88"/>
      <c r="L13" s="88"/>
      <c r="M13" s="88"/>
      <c r="N13" s="88">
        <v>0</v>
      </c>
      <c r="O13" s="88">
        <v>0</v>
      </c>
      <c r="Q13">
        <f>+E13*1000/H13</f>
        <v>15.401540154015402</v>
      </c>
    </row>
    <row r="14" spans="1:17" x14ac:dyDescent="0.25">
      <c r="A14" t="s">
        <v>74</v>
      </c>
      <c r="B14" s="85">
        <v>46035</v>
      </c>
      <c r="C14" s="86">
        <f t="shared" si="0"/>
        <v>1</v>
      </c>
      <c r="D14" s="5">
        <v>938619</v>
      </c>
      <c r="E14" s="5">
        <f t="shared" si="1"/>
        <v>324</v>
      </c>
      <c r="F14" s="5">
        <v>14780</v>
      </c>
      <c r="G14" s="5">
        <v>9246</v>
      </c>
      <c r="H14" s="5"/>
      <c r="I14" s="5"/>
      <c r="J14" s="88"/>
      <c r="K14" s="88"/>
      <c r="L14" s="88"/>
      <c r="M14" s="88"/>
      <c r="N14" s="88">
        <v>0</v>
      </c>
      <c r="O14" s="88">
        <v>0</v>
      </c>
    </row>
    <row r="15" spans="1:17" x14ac:dyDescent="0.25">
      <c r="A15" t="s">
        <v>68</v>
      </c>
      <c r="B15" s="85">
        <v>46036</v>
      </c>
      <c r="C15" s="86">
        <f t="shared" si="0"/>
        <v>1</v>
      </c>
      <c r="D15" s="5">
        <v>938967</v>
      </c>
      <c r="E15" s="5">
        <f t="shared" si="1"/>
        <v>348</v>
      </c>
      <c r="F15" s="5">
        <v>24677</v>
      </c>
      <c r="G15" s="5">
        <v>11658</v>
      </c>
      <c r="H15" s="5">
        <v>25007.89</v>
      </c>
      <c r="I15" s="5"/>
      <c r="J15" s="88"/>
      <c r="K15" s="88"/>
      <c r="L15" s="88"/>
      <c r="M15" s="88"/>
      <c r="N15" s="88">
        <v>0</v>
      </c>
      <c r="O15" s="88">
        <v>0</v>
      </c>
      <c r="Q15">
        <f>+E15*1000/H15</f>
        <v>13.915608234041336</v>
      </c>
    </row>
    <row r="16" spans="1:17" x14ac:dyDescent="0.25">
      <c r="A16" t="s">
        <v>69</v>
      </c>
      <c r="B16" s="85">
        <v>46037</v>
      </c>
      <c r="C16" s="86">
        <f t="shared" si="0"/>
        <v>1</v>
      </c>
      <c r="D16" s="5">
        <v>939343</v>
      </c>
      <c r="E16" s="5">
        <f t="shared" si="1"/>
        <v>376</v>
      </c>
      <c r="F16" s="5">
        <v>25132</v>
      </c>
      <c r="G16" s="5">
        <v>12536</v>
      </c>
      <c r="H16" s="5">
        <v>18193.11</v>
      </c>
      <c r="I16" s="5"/>
      <c r="J16" s="88"/>
      <c r="K16" s="88"/>
      <c r="L16" s="88"/>
      <c r="M16" s="88"/>
      <c r="N16" s="88">
        <v>0</v>
      </c>
      <c r="O16" s="88">
        <v>0</v>
      </c>
      <c r="Q16">
        <f>+E16*1000/H16</f>
        <v>20.667164657389527</v>
      </c>
    </row>
    <row r="17" spans="1:17" x14ac:dyDescent="0.25">
      <c r="A17" t="s">
        <v>70</v>
      </c>
      <c r="B17" s="85">
        <v>46038</v>
      </c>
      <c r="C17" s="86">
        <f t="shared" si="0"/>
        <v>1</v>
      </c>
      <c r="D17" s="5">
        <v>939721</v>
      </c>
      <c r="E17" s="5">
        <f t="shared" si="1"/>
        <v>378</v>
      </c>
      <c r="F17" s="5">
        <v>10670</v>
      </c>
      <c r="G17" s="5">
        <v>7867</v>
      </c>
      <c r="H17" s="5"/>
      <c r="I17" s="5"/>
      <c r="J17" s="88"/>
      <c r="K17" s="88"/>
      <c r="L17" s="88"/>
      <c r="M17" s="88"/>
      <c r="N17" s="88">
        <v>0</v>
      </c>
      <c r="O17" s="88">
        <v>0</v>
      </c>
    </row>
    <row r="18" spans="1:17" x14ac:dyDescent="0.25">
      <c r="A18" t="s">
        <v>71</v>
      </c>
      <c r="B18" s="85">
        <v>46039</v>
      </c>
      <c r="C18" s="86">
        <f t="shared" si="0"/>
        <v>1</v>
      </c>
      <c r="D18" s="5">
        <v>939721</v>
      </c>
      <c r="E18" s="5">
        <f t="shared" si="1"/>
        <v>0</v>
      </c>
      <c r="F18" s="5">
        <v>3356</v>
      </c>
      <c r="G18" s="5">
        <v>4569</v>
      </c>
      <c r="H18" s="5"/>
      <c r="I18" s="5"/>
      <c r="J18" s="88"/>
      <c r="K18" s="88"/>
      <c r="L18" s="88"/>
      <c r="M18" s="88"/>
      <c r="N18" s="88">
        <v>0</v>
      </c>
      <c r="O18" s="88">
        <v>0</v>
      </c>
    </row>
    <row r="19" spans="1:17" x14ac:dyDescent="0.25">
      <c r="A19" t="s">
        <v>72</v>
      </c>
      <c r="B19" s="85">
        <v>46040</v>
      </c>
      <c r="C19" s="86">
        <f t="shared" si="0"/>
        <v>1</v>
      </c>
      <c r="D19" s="5">
        <v>939753</v>
      </c>
      <c r="E19" s="5">
        <f t="shared" si="1"/>
        <v>32</v>
      </c>
      <c r="F19" s="5">
        <v>1821</v>
      </c>
      <c r="G19" s="5">
        <v>4236</v>
      </c>
      <c r="H19" s="5"/>
      <c r="I19" s="5"/>
      <c r="J19" s="88"/>
      <c r="K19" s="88"/>
      <c r="L19" s="88"/>
      <c r="M19" s="88"/>
      <c r="N19" s="88">
        <v>0</v>
      </c>
      <c r="O19" s="88">
        <v>0</v>
      </c>
    </row>
    <row r="20" spans="1:17" x14ac:dyDescent="0.25">
      <c r="A20" t="s">
        <v>73</v>
      </c>
      <c r="B20" s="85">
        <v>46041</v>
      </c>
      <c r="C20" s="86">
        <f t="shared" si="0"/>
        <v>1</v>
      </c>
      <c r="D20" s="5">
        <v>940223</v>
      </c>
      <c r="E20" s="5">
        <f t="shared" si="1"/>
        <v>470</v>
      </c>
      <c r="F20" s="5">
        <v>38483</v>
      </c>
      <c r="G20" s="5">
        <v>12653</v>
      </c>
      <c r="H20" s="5">
        <v>35151.97</v>
      </c>
      <c r="I20" s="5"/>
      <c r="J20" s="88"/>
      <c r="K20" s="88"/>
      <c r="L20" s="88"/>
      <c r="M20" s="88"/>
      <c r="N20" s="88">
        <v>0</v>
      </c>
      <c r="O20" s="88">
        <v>0</v>
      </c>
      <c r="Q20">
        <f>+E20*1000/H20</f>
        <v>13.370516645297545</v>
      </c>
    </row>
    <row r="21" spans="1:17" x14ac:dyDescent="0.25">
      <c r="A21" t="s">
        <v>74</v>
      </c>
      <c r="B21" s="85">
        <v>46042</v>
      </c>
      <c r="C21" s="86">
        <f t="shared" si="0"/>
        <v>1</v>
      </c>
      <c r="D21" s="5">
        <v>940417</v>
      </c>
      <c r="E21" s="5">
        <f t="shared" si="1"/>
        <v>194</v>
      </c>
      <c r="F21" s="5">
        <v>14424</v>
      </c>
      <c r="G21" s="5">
        <v>9443</v>
      </c>
      <c r="H21" s="5"/>
      <c r="I21" s="5"/>
      <c r="J21" s="88"/>
      <c r="K21" s="88"/>
      <c r="L21" s="88"/>
      <c r="M21" s="88"/>
      <c r="N21" s="88">
        <v>0</v>
      </c>
      <c r="O21" s="88">
        <v>0</v>
      </c>
    </row>
    <row r="22" spans="1:17" x14ac:dyDescent="0.25">
      <c r="A22" t="s">
        <v>68</v>
      </c>
      <c r="B22" s="85">
        <v>46043</v>
      </c>
      <c r="C22" s="86">
        <f t="shared" si="0"/>
        <v>1</v>
      </c>
      <c r="D22" s="5">
        <v>940826</v>
      </c>
      <c r="E22" s="5">
        <f t="shared" si="1"/>
        <v>409</v>
      </c>
      <c r="F22" s="5">
        <v>31713</v>
      </c>
      <c r="G22" s="5">
        <v>12376</v>
      </c>
      <c r="H22" s="5">
        <v>35553.589999999997</v>
      </c>
      <c r="I22" s="5"/>
      <c r="J22" s="88"/>
      <c r="K22" s="88"/>
      <c r="L22" s="88"/>
      <c r="M22" s="88"/>
      <c r="N22" s="88">
        <v>0</v>
      </c>
      <c r="O22" s="88">
        <v>0</v>
      </c>
      <c r="Q22">
        <f>+E22*1000/H22</f>
        <v>11.503760942284591</v>
      </c>
    </row>
    <row r="23" spans="1:17" x14ac:dyDescent="0.25">
      <c r="A23" t="s">
        <v>69</v>
      </c>
      <c r="B23" s="85">
        <v>46044</v>
      </c>
      <c r="C23" s="86">
        <f t="shared" si="0"/>
        <v>1</v>
      </c>
      <c r="D23" s="5">
        <v>941263</v>
      </c>
      <c r="E23" s="5">
        <f t="shared" si="1"/>
        <v>437</v>
      </c>
      <c r="F23" s="5">
        <v>30606</v>
      </c>
      <c r="G23" s="5">
        <v>13693</v>
      </c>
      <c r="H23" s="5">
        <v>36209.699999999997</v>
      </c>
      <c r="I23" s="5"/>
      <c r="J23" s="88"/>
      <c r="K23" s="88"/>
      <c r="L23" s="88"/>
      <c r="M23" s="88"/>
      <c r="N23" s="88">
        <v>0</v>
      </c>
      <c r="O23" s="88">
        <v>0</v>
      </c>
      <c r="Q23">
        <f>+E23*1000/H23</f>
        <v>12.068589355890825</v>
      </c>
    </row>
    <row r="24" spans="1:17" x14ac:dyDescent="0.25">
      <c r="A24" t="s">
        <v>70</v>
      </c>
      <c r="B24" s="85">
        <v>46045</v>
      </c>
      <c r="C24" s="86">
        <f t="shared" si="0"/>
        <v>1</v>
      </c>
      <c r="D24" s="5">
        <v>941651</v>
      </c>
      <c r="E24" s="5">
        <f t="shared" si="1"/>
        <v>388</v>
      </c>
      <c r="F24" s="5">
        <v>16823</v>
      </c>
      <c r="G24" s="5">
        <v>10133</v>
      </c>
      <c r="H24" s="5"/>
      <c r="I24" s="5"/>
      <c r="J24" s="88"/>
      <c r="K24" s="88"/>
      <c r="L24" s="88"/>
      <c r="M24" s="88"/>
      <c r="N24" s="88">
        <v>0</v>
      </c>
      <c r="O24" s="88">
        <v>0</v>
      </c>
    </row>
    <row r="25" spans="1:17" x14ac:dyDescent="0.25">
      <c r="A25" t="s">
        <v>71</v>
      </c>
      <c r="B25" s="85">
        <v>46046</v>
      </c>
      <c r="C25" s="86">
        <f t="shared" si="0"/>
        <v>1</v>
      </c>
      <c r="D25" s="5">
        <v>941651</v>
      </c>
      <c r="E25" s="5">
        <f t="shared" si="1"/>
        <v>0</v>
      </c>
      <c r="F25" s="5">
        <v>5787</v>
      </c>
      <c r="G25" s="5">
        <v>5184</v>
      </c>
      <c r="H25" s="5"/>
      <c r="I25" s="5"/>
      <c r="J25" s="88"/>
      <c r="K25" s="88"/>
      <c r="L25" s="88"/>
      <c r="M25" s="88"/>
      <c r="N25" s="88" t="e">
        <f>+L25/M25</f>
        <v>#DIV/0!</v>
      </c>
      <c r="O25" s="89" t="e">
        <f>L25/(I25-J25-K25)</f>
        <v>#DIV/0!</v>
      </c>
    </row>
    <row r="26" spans="1:17" x14ac:dyDescent="0.25">
      <c r="A26" t="s">
        <v>72</v>
      </c>
      <c r="B26" s="85">
        <v>46047</v>
      </c>
      <c r="C26" s="86">
        <f t="shared" si="0"/>
        <v>1</v>
      </c>
      <c r="D26" s="5">
        <v>941689</v>
      </c>
      <c r="E26" s="5">
        <f t="shared" si="1"/>
        <v>38</v>
      </c>
      <c r="F26" s="5">
        <v>2354</v>
      </c>
      <c r="G26" s="5">
        <v>4576</v>
      </c>
      <c r="H26" s="5"/>
      <c r="I26" s="5"/>
      <c r="J26" s="88"/>
      <c r="K26" s="88"/>
      <c r="L26" s="88"/>
      <c r="M26" s="88"/>
      <c r="N26" s="88">
        <v>0</v>
      </c>
      <c r="O26" s="88">
        <v>0</v>
      </c>
    </row>
    <row r="27" spans="1:17" x14ac:dyDescent="0.25">
      <c r="A27" t="s">
        <v>73</v>
      </c>
      <c r="B27" s="85">
        <v>46048</v>
      </c>
      <c r="C27" s="86">
        <f t="shared" si="0"/>
        <v>1</v>
      </c>
      <c r="D27" s="5">
        <v>942160</v>
      </c>
      <c r="E27" s="5">
        <f t="shared" si="1"/>
        <v>471</v>
      </c>
      <c r="F27" s="5">
        <v>39113</v>
      </c>
      <c r="G27" s="5">
        <v>11771</v>
      </c>
      <c r="H27" s="5">
        <v>22568.13</v>
      </c>
      <c r="I27" s="5"/>
      <c r="J27" s="88"/>
      <c r="K27" s="88"/>
      <c r="L27" s="88"/>
      <c r="M27" s="88"/>
      <c r="N27" s="88">
        <v>0</v>
      </c>
      <c r="O27" s="88">
        <v>0</v>
      </c>
      <c r="Q27">
        <f>+E27*1000/H27</f>
        <v>20.870138553792447</v>
      </c>
    </row>
    <row r="28" spans="1:17" x14ac:dyDescent="0.25">
      <c r="A28" t="s">
        <v>74</v>
      </c>
      <c r="B28" s="85">
        <v>46049</v>
      </c>
      <c r="C28" s="86">
        <f t="shared" si="0"/>
        <v>1</v>
      </c>
      <c r="D28" s="5">
        <v>942337</v>
      </c>
      <c r="E28" s="5">
        <f t="shared" si="1"/>
        <v>177</v>
      </c>
      <c r="F28" s="5">
        <v>15861</v>
      </c>
      <c r="G28" s="5">
        <v>7746</v>
      </c>
      <c r="H28" s="5"/>
      <c r="I28" s="5"/>
      <c r="J28" s="88"/>
      <c r="K28" s="88"/>
      <c r="L28" s="88"/>
      <c r="M28" s="88"/>
      <c r="N28" s="88">
        <v>0</v>
      </c>
      <c r="O28" s="88">
        <v>0</v>
      </c>
    </row>
    <row r="29" spans="1:17" x14ac:dyDescent="0.25">
      <c r="A29" t="s">
        <v>68</v>
      </c>
      <c r="B29" s="85">
        <v>46050</v>
      </c>
      <c r="C29" s="86">
        <f t="shared" si="0"/>
        <v>1</v>
      </c>
      <c r="D29" s="5">
        <v>942627</v>
      </c>
      <c r="E29" s="5">
        <f t="shared" si="1"/>
        <v>290</v>
      </c>
      <c r="F29" s="5">
        <v>26484</v>
      </c>
      <c r="G29" s="5">
        <v>9017</v>
      </c>
      <c r="H29" s="5">
        <v>15823.62</v>
      </c>
      <c r="I29" s="5"/>
      <c r="J29" s="88"/>
      <c r="K29" s="88"/>
      <c r="L29" s="88"/>
      <c r="M29" s="88"/>
      <c r="N29" s="88">
        <v>0</v>
      </c>
      <c r="O29" s="88">
        <v>0</v>
      </c>
      <c r="Q29">
        <f>+E29*1000/H29</f>
        <v>18.327032625909872</v>
      </c>
    </row>
    <row r="30" spans="1:17" x14ac:dyDescent="0.25">
      <c r="A30" t="s">
        <v>69</v>
      </c>
      <c r="B30" s="85">
        <v>46051</v>
      </c>
      <c r="C30" s="86">
        <f t="shared" si="0"/>
        <v>1</v>
      </c>
      <c r="D30" s="5">
        <v>943026</v>
      </c>
      <c r="E30" s="5">
        <f t="shared" si="1"/>
        <v>399</v>
      </c>
      <c r="F30" s="5">
        <v>31915</v>
      </c>
      <c r="G30" s="5">
        <v>12093</v>
      </c>
      <c r="H30" s="5">
        <v>24822.61</v>
      </c>
      <c r="I30" s="5"/>
      <c r="J30" s="88"/>
      <c r="K30" s="88"/>
      <c r="L30" s="88"/>
      <c r="M30" s="88"/>
      <c r="N30" s="88" t="e">
        <f>+L30/M30</f>
        <v>#DIV/0!</v>
      </c>
      <c r="O30" s="89" t="e">
        <f>L30/(I30-J30-K30)</f>
        <v>#DIV/0!</v>
      </c>
      <c r="Q30">
        <f>+E30*1000/H30</f>
        <v>16.074055065120067</v>
      </c>
    </row>
    <row r="31" spans="1:17" x14ac:dyDescent="0.25">
      <c r="A31" t="s">
        <v>70</v>
      </c>
      <c r="B31" s="85">
        <v>46052</v>
      </c>
      <c r="C31" s="86">
        <f t="shared" si="0"/>
        <v>1</v>
      </c>
      <c r="D31" s="5">
        <v>943228</v>
      </c>
      <c r="E31" s="5">
        <f t="shared" si="1"/>
        <v>202</v>
      </c>
      <c r="F31" s="5">
        <v>14952</v>
      </c>
      <c r="G31" s="5">
        <v>7409</v>
      </c>
      <c r="H31" s="5"/>
      <c r="I31" s="5"/>
      <c r="J31" s="88"/>
      <c r="K31" s="88"/>
      <c r="L31" s="88"/>
      <c r="M31" s="88"/>
      <c r="N31" s="88">
        <v>0</v>
      </c>
      <c r="O31" s="88">
        <v>0</v>
      </c>
    </row>
    <row r="32" spans="1:17" x14ac:dyDescent="0.25">
      <c r="A32" t="s">
        <v>71</v>
      </c>
      <c r="B32" s="85">
        <v>46053</v>
      </c>
      <c r="C32" s="86">
        <f t="shared" si="0"/>
        <v>1</v>
      </c>
      <c r="D32" s="5">
        <v>943228</v>
      </c>
      <c r="E32" s="5">
        <f t="shared" si="1"/>
        <v>0</v>
      </c>
      <c r="F32" s="5">
        <v>6302</v>
      </c>
      <c r="G32" s="5">
        <v>4560</v>
      </c>
      <c r="H32" s="5"/>
      <c r="I32" s="5"/>
      <c r="J32" s="88"/>
      <c r="K32" s="88"/>
      <c r="L32" s="88"/>
      <c r="M32" s="88"/>
      <c r="N32" s="88">
        <v>0</v>
      </c>
      <c r="O32" s="88">
        <v>0</v>
      </c>
    </row>
    <row r="33" spans="1:17" x14ac:dyDescent="0.25">
      <c r="A33" t="s">
        <v>72</v>
      </c>
      <c r="B33" s="85">
        <v>46054</v>
      </c>
      <c r="C33" s="86">
        <f t="shared" si="0"/>
        <v>2</v>
      </c>
      <c r="D33" s="5">
        <v>943228</v>
      </c>
      <c r="E33" s="5">
        <f t="shared" si="1"/>
        <v>0</v>
      </c>
      <c r="F33" s="5">
        <v>4372</v>
      </c>
      <c r="G33" s="5">
        <v>4430</v>
      </c>
      <c r="H33" s="5"/>
      <c r="I33" s="5"/>
      <c r="J33" s="88"/>
      <c r="K33" s="88"/>
      <c r="L33" s="88"/>
      <c r="M33" s="88"/>
      <c r="N33" s="88">
        <v>0</v>
      </c>
      <c r="O33" s="88">
        <v>0</v>
      </c>
    </row>
    <row r="34" spans="1:17" x14ac:dyDescent="0.25">
      <c r="A34" t="s">
        <v>73</v>
      </c>
      <c r="B34" s="85">
        <v>46055</v>
      </c>
      <c r="C34" s="86">
        <f t="shared" si="0"/>
        <v>2</v>
      </c>
      <c r="D34" s="5">
        <v>943330</v>
      </c>
      <c r="E34" s="5">
        <f t="shared" si="1"/>
        <v>102</v>
      </c>
      <c r="F34" s="5">
        <v>20314</v>
      </c>
      <c r="G34" s="5">
        <v>6410</v>
      </c>
      <c r="H34" s="5"/>
      <c r="I34" s="5"/>
      <c r="J34" s="88"/>
      <c r="K34" s="88"/>
      <c r="L34" s="88"/>
      <c r="M34" s="88"/>
      <c r="N34" s="88">
        <v>0</v>
      </c>
      <c r="O34" s="88">
        <v>0</v>
      </c>
    </row>
    <row r="35" spans="1:17" x14ac:dyDescent="0.25">
      <c r="A35" t="s">
        <v>74</v>
      </c>
      <c r="B35" s="85">
        <v>46056</v>
      </c>
      <c r="C35" s="86">
        <f t="shared" si="0"/>
        <v>2</v>
      </c>
      <c r="D35" s="5">
        <v>943403</v>
      </c>
      <c r="E35" s="5">
        <f t="shared" si="1"/>
        <v>73</v>
      </c>
      <c r="F35" s="5">
        <v>14729</v>
      </c>
      <c r="G35" s="5">
        <v>5209</v>
      </c>
      <c r="H35" s="5"/>
      <c r="I35" s="5"/>
      <c r="J35" s="88"/>
      <c r="K35" s="88"/>
      <c r="L35" s="88"/>
      <c r="M35" s="88"/>
      <c r="N35" s="88">
        <v>0</v>
      </c>
      <c r="O35" s="88">
        <v>0</v>
      </c>
    </row>
    <row r="36" spans="1:17" x14ac:dyDescent="0.25">
      <c r="A36" t="s">
        <v>68</v>
      </c>
      <c r="B36" s="85">
        <v>46057</v>
      </c>
      <c r="C36" s="86">
        <f t="shared" si="0"/>
        <v>2</v>
      </c>
      <c r="D36" s="5">
        <v>943773</v>
      </c>
      <c r="E36" s="5">
        <f t="shared" si="1"/>
        <v>370</v>
      </c>
      <c r="F36" s="5">
        <v>28896</v>
      </c>
      <c r="G36" s="5">
        <v>10161</v>
      </c>
      <c r="H36" s="5">
        <v>23208.28</v>
      </c>
      <c r="I36" s="5"/>
      <c r="J36" s="88"/>
      <c r="K36" s="88"/>
      <c r="L36" s="88"/>
      <c r="M36" s="88"/>
      <c r="N36" s="88">
        <v>0</v>
      </c>
      <c r="O36" s="88">
        <v>0</v>
      </c>
      <c r="Q36">
        <f>+E36*1000/H36</f>
        <v>15.942586008097111</v>
      </c>
    </row>
    <row r="37" spans="1:17" x14ac:dyDescent="0.25">
      <c r="A37" t="s">
        <v>69</v>
      </c>
      <c r="B37" s="85">
        <v>46058</v>
      </c>
      <c r="C37" s="86">
        <f t="shared" si="0"/>
        <v>2</v>
      </c>
      <c r="D37" s="5">
        <v>943881</v>
      </c>
      <c r="E37" s="5">
        <f t="shared" si="1"/>
        <v>108</v>
      </c>
      <c r="F37" s="5">
        <v>14926</v>
      </c>
      <c r="G37" s="5">
        <v>7511</v>
      </c>
      <c r="H37" s="5"/>
      <c r="I37" s="5"/>
      <c r="J37" s="88"/>
      <c r="K37" s="88"/>
      <c r="L37" s="88"/>
      <c r="M37" s="88"/>
      <c r="N37" s="88">
        <v>0</v>
      </c>
      <c r="O37" s="88">
        <v>0</v>
      </c>
    </row>
    <row r="38" spans="1:17" x14ac:dyDescent="0.25">
      <c r="A38" t="s">
        <v>70</v>
      </c>
      <c r="B38" s="85">
        <v>46059</v>
      </c>
      <c r="C38" s="86">
        <f t="shared" si="0"/>
        <v>2</v>
      </c>
      <c r="D38" s="5">
        <v>943975</v>
      </c>
      <c r="E38" s="5">
        <f t="shared" si="1"/>
        <v>94</v>
      </c>
      <c r="F38" s="5">
        <v>11028</v>
      </c>
      <c r="G38" s="5">
        <v>5570</v>
      </c>
      <c r="H38" s="5"/>
      <c r="I38" s="5"/>
      <c r="J38" s="88"/>
      <c r="K38" s="88"/>
      <c r="L38" s="88"/>
      <c r="M38" s="88"/>
      <c r="N38" s="88">
        <v>0</v>
      </c>
      <c r="O38" s="88">
        <v>0</v>
      </c>
    </row>
    <row r="39" spans="1:17" x14ac:dyDescent="0.25">
      <c r="A39" t="s">
        <v>71</v>
      </c>
      <c r="B39" s="85">
        <v>46060</v>
      </c>
      <c r="C39" s="86">
        <f t="shared" si="0"/>
        <v>2</v>
      </c>
      <c r="D39" s="5">
        <v>943975</v>
      </c>
      <c r="E39" s="5">
        <f t="shared" si="1"/>
        <v>0</v>
      </c>
      <c r="F39" s="5">
        <v>5076</v>
      </c>
      <c r="G39" s="5">
        <v>4199</v>
      </c>
      <c r="H39" s="5"/>
      <c r="I39" s="5"/>
      <c r="J39" s="88"/>
      <c r="K39" s="88"/>
      <c r="L39" s="88"/>
      <c r="M39" s="88"/>
      <c r="N39" s="88" t="e">
        <f>+L39/M39</f>
        <v>#DIV/0!</v>
      </c>
      <c r="O39" s="89" t="e">
        <f>L39/(I39-J39-K39)</f>
        <v>#DIV/0!</v>
      </c>
    </row>
    <row r="40" spans="1:17" x14ac:dyDescent="0.25">
      <c r="A40" t="s">
        <v>72</v>
      </c>
      <c r="B40" s="85">
        <v>46061</v>
      </c>
      <c r="C40" s="86">
        <f t="shared" si="0"/>
        <v>2</v>
      </c>
      <c r="D40" s="5">
        <v>943975</v>
      </c>
      <c r="E40" s="5">
        <f t="shared" si="1"/>
        <v>0</v>
      </c>
      <c r="F40" s="5">
        <v>4641</v>
      </c>
      <c r="G40" s="5">
        <v>4101</v>
      </c>
      <c r="H40" s="5"/>
      <c r="I40" s="5"/>
      <c r="J40" s="88"/>
      <c r="K40" s="88"/>
      <c r="L40" s="88"/>
      <c r="M40" s="88"/>
      <c r="N40" s="88">
        <v>0</v>
      </c>
      <c r="O40" s="88">
        <v>0</v>
      </c>
    </row>
    <row r="41" spans="1:17" x14ac:dyDescent="0.25">
      <c r="A41" t="s">
        <v>73</v>
      </c>
      <c r="B41" s="85">
        <v>46062</v>
      </c>
      <c r="C41" s="86">
        <f t="shared" si="0"/>
        <v>2</v>
      </c>
      <c r="D41" s="5">
        <v>944059</v>
      </c>
      <c r="E41" s="5">
        <f t="shared" si="1"/>
        <v>84</v>
      </c>
      <c r="F41" s="5">
        <v>17224</v>
      </c>
      <c r="G41" s="5">
        <v>5524</v>
      </c>
      <c r="H41" s="5"/>
      <c r="I41" s="5"/>
      <c r="J41" s="88"/>
      <c r="K41" s="88"/>
      <c r="L41" s="88"/>
      <c r="M41" s="88"/>
      <c r="N41" s="88">
        <v>0</v>
      </c>
      <c r="O41" s="88">
        <v>0</v>
      </c>
    </row>
    <row r="42" spans="1:17" x14ac:dyDescent="0.25">
      <c r="A42" t="s">
        <v>74</v>
      </c>
      <c r="B42" s="85">
        <v>46063</v>
      </c>
      <c r="C42" s="86">
        <f t="shared" si="0"/>
        <v>2</v>
      </c>
      <c r="D42" s="5">
        <v>944059</v>
      </c>
      <c r="E42" s="5">
        <f t="shared" si="1"/>
        <v>0</v>
      </c>
      <c r="F42" s="5">
        <v>16782</v>
      </c>
      <c r="G42" s="5">
        <v>6252</v>
      </c>
      <c r="H42" s="5"/>
      <c r="I42" s="5"/>
      <c r="J42" s="88"/>
      <c r="K42" s="88"/>
      <c r="L42" s="88"/>
      <c r="M42" s="88"/>
      <c r="N42" s="88">
        <v>0</v>
      </c>
      <c r="O42" s="88">
        <v>0</v>
      </c>
    </row>
    <row r="43" spans="1:17" x14ac:dyDescent="0.25">
      <c r="A43" t="s">
        <v>68</v>
      </c>
      <c r="B43" s="85">
        <v>46064</v>
      </c>
      <c r="C43" s="86">
        <f t="shared" si="0"/>
        <v>2</v>
      </c>
      <c r="D43" s="5">
        <v>944570</v>
      </c>
      <c r="E43" s="5">
        <f t="shared" si="1"/>
        <v>511</v>
      </c>
      <c r="F43" s="5">
        <v>27573</v>
      </c>
      <c r="G43" s="5">
        <v>10118</v>
      </c>
      <c r="H43" s="5">
        <v>15180.79</v>
      </c>
      <c r="I43" s="5"/>
      <c r="J43" s="88"/>
      <c r="K43" s="88"/>
      <c r="L43" s="88"/>
      <c r="M43" s="88"/>
      <c r="N43" s="88">
        <v>0</v>
      </c>
      <c r="O43" s="88">
        <v>0</v>
      </c>
      <c r="Q43">
        <f>+E43*1000/H43</f>
        <v>33.660962308285669</v>
      </c>
    </row>
    <row r="44" spans="1:17" x14ac:dyDescent="0.25">
      <c r="A44" t="s">
        <v>69</v>
      </c>
      <c r="B44" s="85">
        <v>46065</v>
      </c>
      <c r="C44" s="86">
        <f t="shared" si="0"/>
        <v>2</v>
      </c>
      <c r="D44" s="5">
        <v>944826</v>
      </c>
      <c r="E44" s="5">
        <f t="shared" si="1"/>
        <v>256</v>
      </c>
      <c r="F44" s="5">
        <v>19482</v>
      </c>
      <c r="G44" s="5">
        <v>8179</v>
      </c>
      <c r="H44" s="5">
        <v>3311.26</v>
      </c>
      <c r="I44" s="5"/>
      <c r="J44" s="88"/>
      <c r="K44" s="88"/>
      <c r="L44" s="88"/>
      <c r="M44" s="88"/>
      <c r="N44" s="88">
        <v>0</v>
      </c>
      <c r="O44" s="88">
        <v>0</v>
      </c>
      <c r="Q44">
        <f>+E44*1000/H44</f>
        <v>77.311959797780901</v>
      </c>
    </row>
    <row r="45" spans="1:17" x14ac:dyDescent="0.25">
      <c r="A45" t="s">
        <v>70</v>
      </c>
      <c r="B45" s="85">
        <v>46066</v>
      </c>
      <c r="C45" s="86">
        <f t="shared" si="0"/>
        <v>2</v>
      </c>
      <c r="D45" s="5">
        <v>944982</v>
      </c>
      <c r="E45" s="5">
        <f t="shared" si="1"/>
        <v>156</v>
      </c>
      <c r="F45" s="5">
        <v>15133</v>
      </c>
      <c r="G45" s="5">
        <v>7235</v>
      </c>
      <c r="H45" s="5"/>
      <c r="I45" s="5"/>
      <c r="J45" s="88"/>
      <c r="K45" s="88"/>
      <c r="L45" s="88"/>
      <c r="M45" s="88"/>
      <c r="N45" s="88">
        <v>0</v>
      </c>
      <c r="O45" s="88">
        <v>0</v>
      </c>
    </row>
    <row r="46" spans="1:17" x14ac:dyDescent="0.25">
      <c r="A46" t="s">
        <v>71</v>
      </c>
      <c r="B46" s="85">
        <v>46067</v>
      </c>
      <c r="C46" s="86">
        <f t="shared" si="0"/>
        <v>2</v>
      </c>
      <c r="D46" s="5">
        <v>944982</v>
      </c>
      <c r="E46" s="5">
        <f t="shared" si="1"/>
        <v>0</v>
      </c>
      <c r="F46" s="5">
        <v>4971</v>
      </c>
      <c r="G46" s="5">
        <v>4875</v>
      </c>
      <c r="H46" s="5"/>
      <c r="I46" s="5"/>
      <c r="J46" s="88"/>
      <c r="K46" s="88"/>
      <c r="L46" s="88"/>
      <c r="M46" s="88"/>
      <c r="N46" s="88">
        <v>0</v>
      </c>
      <c r="O46" s="88">
        <v>0</v>
      </c>
    </row>
    <row r="47" spans="1:17" x14ac:dyDescent="0.25">
      <c r="A47" t="s">
        <v>72</v>
      </c>
      <c r="B47" s="85">
        <v>46068</v>
      </c>
      <c r="C47" s="86">
        <f t="shared" si="0"/>
        <v>2</v>
      </c>
      <c r="D47" s="5">
        <v>944982</v>
      </c>
      <c r="E47" s="5">
        <f t="shared" si="1"/>
        <v>0</v>
      </c>
      <c r="F47" s="5">
        <v>4643</v>
      </c>
      <c r="G47" s="5">
        <v>4649</v>
      </c>
      <c r="H47" s="5"/>
      <c r="I47" s="5"/>
      <c r="J47" s="88"/>
      <c r="K47" s="88"/>
      <c r="L47" s="88"/>
      <c r="M47" s="88"/>
      <c r="N47" s="88">
        <v>0</v>
      </c>
      <c r="O47" s="88">
        <v>0</v>
      </c>
    </row>
    <row r="48" spans="1:17" x14ac:dyDescent="0.25">
      <c r="A48" t="s">
        <v>73</v>
      </c>
      <c r="B48" s="85">
        <v>46069</v>
      </c>
      <c r="C48" s="86">
        <f t="shared" si="0"/>
        <v>2</v>
      </c>
      <c r="D48" s="5">
        <v>945068</v>
      </c>
      <c r="E48" s="5">
        <f t="shared" si="1"/>
        <v>86</v>
      </c>
      <c r="F48" s="5">
        <v>16017</v>
      </c>
      <c r="G48" s="5">
        <v>5483</v>
      </c>
      <c r="H48" s="5"/>
      <c r="I48" s="5"/>
      <c r="J48" s="88"/>
      <c r="K48" s="88"/>
      <c r="L48" s="88"/>
      <c r="M48" s="88"/>
      <c r="N48" s="88">
        <v>0</v>
      </c>
      <c r="O48" s="88">
        <v>0</v>
      </c>
    </row>
    <row r="49" spans="1:17" x14ac:dyDescent="0.25">
      <c r="A49" t="s">
        <v>74</v>
      </c>
      <c r="B49" s="85">
        <v>46070</v>
      </c>
      <c r="C49" s="86">
        <f t="shared" si="0"/>
        <v>2</v>
      </c>
      <c r="D49" s="5">
        <v>945248</v>
      </c>
      <c r="E49" s="5">
        <f t="shared" si="1"/>
        <v>180</v>
      </c>
      <c r="F49" s="5">
        <v>17322</v>
      </c>
      <c r="G49" s="5">
        <v>6218</v>
      </c>
      <c r="H49" s="5"/>
      <c r="I49" s="5"/>
      <c r="J49" s="88"/>
      <c r="K49" s="88"/>
      <c r="L49" s="88"/>
      <c r="M49" s="88"/>
      <c r="N49" s="88">
        <v>0</v>
      </c>
      <c r="O49" s="88">
        <v>0</v>
      </c>
    </row>
    <row r="50" spans="1:17" x14ac:dyDescent="0.25">
      <c r="A50" t="s">
        <v>68</v>
      </c>
      <c r="B50" s="85">
        <v>46071</v>
      </c>
      <c r="C50" s="86">
        <f t="shared" si="0"/>
        <v>2</v>
      </c>
      <c r="D50" s="5">
        <v>945682</v>
      </c>
      <c r="E50" s="5">
        <f t="shared" si="1"/>
        <v>434</v>
      </c>
      <c r="F50" s="5">
        <v>29217</v>
      </c>
      <c r="G50" s="5">
        <v>11175</v>
      </c>
      <c r="H50" s="5">
        <v>21399</v>
      </c>
      <c r="I50" s="5"/>
      <c r="J50" s="88"/>
      <c r="K50" s="88"/>
      <c r="L50" s="88"/>
      <c r="M50" s="88"/>
      <c r="N50" s="88">
        <v>0</v>
      </c>
      <c r="O50" s="88">
        <v>0</v>
      </c>
      <c r="Q50">
        <f>+E50*1000/H50</f>
        <v>20.281321557082105</v>
      </c>
    </row>
    <row r="51" spans="1:17" x14ac:dyDescent="0.25">
      <c r="A51" t="s">
        <v>69</v>
      </c>
      <c r="B51" s="85">
        <v>46072</v>
      </c>
      <c r="C51" s="86">
        <f t="shared" si="0"/>
        <v>2</v>
      </c>
      <c r="D51" s="5">
        <v>945841</v>
      </c>
      <c r="E51" s="5">
        <f t="shared" si="1"/>
        <v>159</v>
      </c>
      <c r="F51" s="5">
        <v>13428</v>
      </c>
      <c r="G51" s="5">
        <v>8018</v>
      </c>
      <c r="H51" s="5"/>
      <c r="I51" s="5"/>
      <c r="J51" s="88"/>
      <c r="K51" s="88"/>
      <c r="L51" s="88"/>
      <c r="M51" s="88"/>
      <c r="N51" s="88">
        <v>0</v>
      </c>
      <c r="O51" s="88">
        <v>0</v>
      </c>
    </row>
    <row r="52" spans="1:17" x14ac:dyDescent="0.25">
      <c r="A52" t="s">
        <v>70</v>
      </c>
      <c r="B52" s="85">
        <v>46073</v>
      </c>
      <c r="C52" s="86">
        <f t="shared" si="0"/>
        <v>2</v>
      </c>
      <c r="D52" s="5">
        <v>945996</v>
      </c>
      <c r="E52" s="5">
        <f t="shared" si="1"/>
        <v>155</v>
      </c>
      <c r="F52" s="5">
        <v>8408</v>
      </c>
      <c r="G52" s="5">
        <v>5966</v>
      </c>
      <c r="H52" s="5"/>
      <c r="I52" s="5"/>
      <c r="J52" s="88"/>
      <c r="K52" s="88"/>
      <c r="L52" s="88"/>
      <c r="M52" s="88"/>
      <c r="N52" s="88">
        <v>0</v>
      </c>
      <c r="O52" s="88">
        <v>0</v>
      </c>
    </row>
    <row r="53" spans="1:17" x14ac:dyDescent="0.25">
      <c r="A53" t="s">
        <v>71</v>
      </c>
      <c r="B53" s="85">
        <v>46074</v>
      </c>
      <c r="C53" s="86">
        <f t="shared" si="0"/>
        <v>2</v>
      </c>
      <c r="D53" s="5">
        <v>945996</v>
      </c>
      <c r="E53" s="5">
        <f t="shared" si="1"/>
        <v>0</v>
      </c>
      <c r="F53" s="5">
        <v>3827</v>
      </c>
      <c r="G53" s="5">
        <v>4367</v>
      </c>
      <c r="H53" s="5"/>
      <c r="I53" s="5"/>
      <c r="J53" s="88"/>
      <c r="K53" s="88"/>
      <c r="L53" s="88"/>
      <c r="M53" s="88"/>
      <c r="N53" s="88" t="e">
        <f>+L53/M53</f>
        <v>#DIV/0!</v>
      </c>
      <c r="O53" s="89" t="e">
        <f>L53/(I53-J53-K53)</f>
        <v>#DIV/0!</v>
      </c>
    </row>
    <row r="54" spans="1:17" x14ac:dyDescent="0.25">
      <c r="A54" t="s">
        <v>72</v>
      </c>
      <c r="B54" s="85">
        <v>46075</v>
      </c>
      <c r="C54" s="86">
        <f t="shared" si="0"/>
        <v>2</v>
      </c>
      <c r="D54" s="5">
        <v>945996</v>
      </c>
      <c r="E54" s="5">
        <f t="shared" si="1"/>
        <v>0</v>
      </c>
      <c r="F54" s="5">
        <v>3749</v>
      </c>
      <c r="G54" s="5">
        <v>4385</v>
      </c>
      <c r="H54" s="5"/>
      <c r="I54" s="5"/>
      <c r="J54" s="88"/>
      <c r="K54" s="88"/>
      <c r="L54" s="88"/>
      <c r="M54" s="88"/>
      <c r="N54" s="88">
        <v>0</v>
      </c>
      <c r="O54" s="88">
        <v>0</v>
      </c>
    </row>
    <row r="55" spans="1:17" x14ac:dyDescent="0.25">
      <c r="A55" t="s">
        <v>73</v>
      </c>
      <c r="B55" s="85">
        <v>46076</v>
      </c>
      <c r="C55" s="86">
        <f t="shared" si="0"/>
        <v>2</v>
      </c>
      <c r="D55" s="5">
        <v>946039</v>
      </c>
      <c r="E55" s="5">
        <f t="shared" si="1"/>
        <v>43</v>
      </c>
      <c r="F55" s="5">
        <v>14329</v>
      </c>
      <c r="G55" s="5">
        <v>5359</v>
      </c>
      <c r="H55" s="5"/>
      <c r="I55" s="5"/>
      <c r="J55" s="88"/>
      <c r="K55" s="88"/>
      <c r="L55" s="88"/>
      <c r="M55" s="88"/>
      <c r="N55" s="88">
        <v>0</v>
      </c>
      <c r="O55" s="88">
        <v>0</v>
      </c>
    </row>
    <row r="56" spans="1:17" x14ac:dyDescent="0.25">
      <c r="A56" t="s">
        <v>74</v>
      </c>
      <c r="B56" s="85">
        <v>46077</v>
      </c>
      <c r="C56" s="86">
        <f t="shared" si="0"/>
        <v>2</v>
      </c>
      <c r="D56" s="5">
        <v>946200</v>
      </c>
      <c r="E56" s="5">
        <f t="shared" si="1"/>
        <v>161</v>
      </c>
      <c r="F56" s="5">
        <v>15564</v>
      </c>
      <c r="G56" s="5">
        <v>6441</v>
      </c>
      <c r="H56" s="5"/>
      <c r="I56" s="5"/>
      <c r="J56" s="88"/>
      <c r="K56" s="88"/>
      <c r="L56" s="88"/>
      <c r="M56" s="88"/>
      <c r="N56" s="88">
        <v>0</v>
      </c>
      <c r="O56" s="88">
        <v>0</v>
      </c>
    </row>
    <row r="57" spans="1:17" x14ac:dyDescent="0.25">
      <c r="A57" t="s">
        <v>68</v>
      </c>
      <c r="B57" s="85">
        <v>46078</v>
      </c>
      <c r="C57" s="86">
        <f t="shared" si="0"/>
        <v>2</v>
      </c>
      <c r="D57" s="5">
        <v>946536</v>
      </c>
      <c r="E57" s="5">
        <f t="shared" si="1"/>
        <v>336</v>
      </c>
      <c r="F57" s="5">
        <v>21805</v>
      </c>
      <c r="G57" s="5">
        <v>9359</v>
      </c>
      <c r="H57" s="5">
        <v>14311</v>
      </c>
      <c r="I57" s="5"/>
      <c r="J57" s="88"/>
      <c r="K57" s="88"/>
      <c r="L57" s="88"/>
      <c r="M57" s="88"/>
      <c r="N57" s="88" t="e">
        <f>+L57/M57</f>
        <v>#DIV/0!</v>
      </c>
      <c r="O57" s="89" t="e">
        <f>L57/(I57-J57-K57)</f>
        <v>#DIV/0!</v>
      </c>
      <c r="Q57">
        <f>+E57*1000/H57</f>
        <v>23.478443155614563</v>
      </c>
    </row>
    <row r="58" spans="1:17" x14ac:dyDescent="0.25">
      <c r="A58" t="s">
        <v>69</v>
      </c>
      <c r="B58" s="85">
        <v>46079</v>
      </c>
      <c r="C58" s="86">
        <f t="shared" si="0"/>
        <v>2</v>
      </c>
      <c r="D58" s="5">
        <v>946645</v>
      </c>
      <c r="E58" s="5">
        <f t="shared" si="1"/>
        <v>109</v>
      </c>
      <c r="F58" s="5">
        <v>10565</v>
      </c>
      <c r="G58" s="5">
        <v>6178</v>
      </c>
      <c r="H58" s="5"/>
      <c r="I58" s="5"/>
      <c r="J58" s="88"/>
      <c r="K58" s="88"/>
      <c r="L58" s="88"/>
      <c r="M58" s="88"/>
      <c r="N58" s="88">
        <v>0</v>
      </c>
      <c r="O58" s="88">
        <v>0</v>
      </c>
    </row>
    <row r="59" spans="1:17" x14ac:dyDescent="0.25">
      <c r="A59" t="s">
        <v>70</v>
      </c>
      <c r="B59" s="85">
        <v>46080</v>
      </c>
      <c r="C59" s="86">
        <f t="shared" si="0"/>
        <v>2</v>
      </c>
      <c r="D59" s="5">
        <v>946724</v>
      </c>
      <c r="E59" s="5">
        <f t="shared" si="1"/>
        <v>79</v>
      </c>
      <c r="F59" s="5">
        <v>6610</v>
      </c>
      <c r="G59" s="5">
        <v>5247</v>
      </c>
      <c r="H59" s="5"/>
      <c r="I59" s="5"/>
      <c r="J59" s="88"/>
      <c r="K59" s="88"/>
      <c r="L59" s="88"/>
      <c r="M59" s="88"/>
      <c r="N59" s="88">
        <v>0</v>
      </c>
      <c r="O59" s="88">
        <v>0</v>
      </c>
    </row>
    <row r="60" spans="1:17" x14ac:dyDescent="0.25">
      <c r="A60" t="s">
        <v>71</v>
      </c>
      <c r="B60" s="85">
        <v>46081</v>
      </c>
      <c r="C60" s="86">
        <f t="shared" si="0"/>
        <v>2</v>
      </c>
      <c r="D60" s="5">
        <v>946724</v>
      </c>
      <c r="E60" s="5">
        <f t="shared" si="1"/>
        <v>0</v>
      </c>
      <c r="F60" s="5">
        <v>3597</v>
      </c>
      <c r="G60" s="5">
        <v>3931</v>
      </c>
      <c r="H60" s="5"/>
      <c r="I60" s="5"/>
      <c r="J60" s="88"/>
      <c r="K60" s="88"/>
      <c r="L60" s="88"/>
      <c r="M60" s="88"/>
      <c r="N60" s="88">
        <v>0</v>
      </c>
      <c r="O60" s="88">
        <v>0</v>
      </c>
    </row>
    <row r="61" spans="1:17" x14ac:dyDescent="0.25">
      <c r="A61" t="s">
        <v>72</v>
      </c>
      <c r="B61" s="85">
        <v>46082</v>
      </c>
      <c r="C61" s="86">
        <f t="shared" si="0"/>
        <v>3</v>
      </c>
      <c r="D61" s="5">
        <v>946724</v>
      </c>
      <c r="E61" s="5">
        <f t="shared" si="1"/>
        <v>0</v>
      </c>
      <c r="F61" s="5"/>
      <c r="G61" s="5">
        <v>3817</v>
      </c>
      <c r="H61" s="5"/>
      <c r="I61" s="5"/>
      <c r="J61" s="88"/>
      <c r="K61" s="88"/>
      <c r="L61" s="88"/>
      <c r="M61" s="88"/>
      <c r="N61" s="88">
        <v>0</v>
      </c>
      <c r="O61" s="88">
        <v>0</v>
      </c>
    </row>
    <row r="62" spans="1:17" x14ac:dyDescent="0.25">
      <c r="A62" t="s">
        <v>73</v>
      </c>
      <c r="B62" s="85">
        <v>46083</v>
      </c>
      <c r="C62" s="86">
        <f t="shared" si="0"/>
        <v>3</v>
      </c>
      <c r="D62" s="5">
        <v>946874</v>
      </c>
      <c r="E62" s="5">
        <f t="shared" si="1"/>
        <v>150</v>
      </c>
      <c r="F62" s="5"/>
      <c r="G62" s="5">
        <v>5392</v>
      </c>
      <c r="H62" s="5"/>
      <c r="I62" s="5"/>
      <c r="J62" s="88"/>
      <c r="K62" s="88"/>
      <c r="L62" s="88"/>
      <c r="M62" s="88"/>
      <c r="N62" s="88">
        <v>0</v>
      </c>
      <c r="O62" s="88">
        <v>0</v>
      </c>
    </row>
    <row r="63" spans="1:17" x14ac:dyDescent="0.25">
      <c r="A63" t="s">
        <v>74</v>
      </c>
      <c r="B63" s="85">
        <v>46084</v>
      </c>
      <c r="C63" s="86">
        <f t="shared" si="0"/>
        <v>3</v>
      </c>
      <c r="D63" s="5">
        <v>947252</v>
      </c>
      <c r="E63" s="5">
        <f t="shared" si="1"/>
        <v>378</v>
      </c>
      <c r="F63" s="5"/>
      <c r="G63" s="5">
        <v>11031</v>
      </c>
      <c r="H63" s="5">
        <v>19433.02</v>
      </c>
      <c r="I63" s="5"/>
      <c r="J63" s="88"/>
      <c r="K63" s="88"/>
      <c r="L63" s="88"/>
      <c r="M63" s="88"/>
      <c r="N63" s="88">
        <v>0</v>
      </c>
      <c r="O63" s="88">
        <v>0</v>
      </c>
    </row>
    <row r="64" spans="1:17" x14ac:dyDescent="0.25">
      <c r="A64" t="s">
        <v>68</v>
      </c>
      <c r="B64" s="85">
        <v>46085</v>
      </c>
      <c r="C64" s="86">
        <f t="shared" si="0"/>
        <v>3</v>
      </c>
      <c r="D64" s="5">
        <v>947531</v>
      </c>
      <c r="E64" s="5">
        <f t="shared" si="1"/>
        <v>279</v>
      </c>
      <c r="F64" s="5"/>
      <c r="G64" s="5">
        <v>7102</v>
      </c>
      <c r="H64" s="5"/>
      <c r="I64" s="5"/>
      <c r="J64" s="88"/>
      <c r="K64" s="88"/>
      <c r="L64" s="88"/>
      <c r="M64" s="88"/>
      <c r="N64" s="88" t="e">
        <f>+L64/M64</f>
        <v>#DIV/0!</v>
      </c>
      <c r="O64" s="89" t="e">
        <f>L64/(I64-J64-K64)</f>
        <v>#DIV/0!</v>
      </c>
    </row>
    <row r="65" spans="1:15" x14ac:dyDescent="0.25">
      <c r="A65" t="s">
        <v>69</v>
      </c>
      <c r="B65" s="85">
        <v>46086</v>
      </c>
      <c r="C65" s="86">
        <f t="shared" si="0"/>
        <v>3</v>
      </c>
      <c r="D65" s="5">
        <v>947960</v>
      </c>
      <c r="E65" s="5">
        <f t="shared" si="1"/>
        <v>429</v>
      </c>
      <c r="F65" s="5"/>
      <c r="G65" s="5">
        <v>11191</v>
      </c>
      <c r="H65" s="5">
        <v>15611.64</v>
      </c>
      <c r="I65" s="5"/>
      <c r="J65" s="88"/>
      <c r="K65" s="88"/>
      <c r="L65" s="88"/>
      <c r="M65" s="88"/>
      <c r="N65" s="88">
        <v>0</v>
      </c>
      <c r="O65" s="88">
        <v>0</v>
      </c>
    </row>
    <row r="66" spans="1:15" x14ac:dyDescent="0.25">
      <c r="A66" t="s">
        <v>70</v>
      </c>
      <c r="B66" s="85">
        <v>46087</v>
      </c>
      <c r="C66" s="86">
        <f t="shared" si="0"/>
        <v>3</v>
      </c>
      <c r="D66" s="5">
        <v>948135</v>
      </c>
      <c r="E66" s="5">
        <f t="shared" si="1"/>
        <v>175</v>
      </c>
      <c r="F66" s="5"/>
      <c r="G66" s="5">
        <v>5998</v>
      </c>
      <c r="H66" s="5"/>
      <c r="I66" s="5"/>
      <c r="J66" s="88"/>
      <c r="K66" s="88"/>
      <c r="L66" s="88"/>
      <c r="M66" s="88"/>
      <c r="N66" s="88">
        <v>0</v>
      </c>
      <c r="O66" s="88">
        <v>0</v>
      </c>
    </row>
    <row r="67" spans="1:15" x14ac:dyDescent="0.25">
      <c r="A67" t="s">
        <v>71</v>
      </c>
      <c r="B67" s="85">
        <v>46088</v>
      </c>
      <c r="C67" s="86">
        <f t="shared" ref="C67:C130" si="2">MONTH(B67)</f>
        <v>3</v>
      </c>
      <c r="D67" s="5">
        <v>948135</v>
      </c>
      <c r="E67" s="5">
        <f t="shared" ref="E67:E130" si="3">+D67-D66</f>
        <v>0</v>
      </c>
      <c r="F67" s="5"/>
      <c r="G67" s="5">
        <v>4520</v>
      </c>
      <c r="H67" s="5"/>
      <c r="I67" s="5"/>
      <c r="J67" s="88"/>
      <c r="K67" s="88"/>
      <c r="L67" s="88"/>
      <c r="M67" s="88"/>
      <c r="N67" s="88">
        <v>0</v>
      </c>
      <c r="O67" s="88">
        <v>0</v>
      </c>
    </row>
    <row r="68" spans="1:15" x14ac:dyDescent="0.25">
      <c r="A68" t="s">
        <v>72</v>
      </c>
      <c r="B68" s="85">
        <v>46089</v>
      </c>
      <c r="C68" s="86">
        <f t="shared" si="2"/>
        <v>3</v>
      </c>
      <c r="D68" s="5">
        <v>948135</v>
      </c>
      <c r="E68" s="5">
        <f t="shared" si="3"/>
        <v>0</v>
      </c>
      <c r="F68" s="5"/>
      <c r="G68" s="5">
        <v>4418</v>
      </c>
      <c r="H68" s="5"/>
      <c r="I68" s="5"/>
      <c r="J68" s="88"/>
      <c r="K68" s="88"/>
      <c r="L68" s="88"/>
      <c r="M68" s="88"/>
      <c r="N68" s="88">
        <v>0</v>
      </c>
      <c r="O68" s="88">
        <v>0</v>
      </c>
    </row>
    <row r="69" spans="1:15" x14ac:dyDescent="0.25">
      <c r="A69" t="s">
        <v>73</v>
      </c>
      <c r="B69" s="85">
        <v>46090</v>
      </c>
      <c r="C69" s="86">
        <f t="shared" si="2"/>
        <v>3</v>
      </c>
      <c r="D69" s="5">
        <v>948253</v>
      </c>
      <c r="E69" s="5">
        <f t="shared" si="3"/>
        <v>118</v>
      </c>
      <c r="F69" s="5"/>
      <c r="G69" s="5">
        <v>5102</v>
      </c>
      <c r="H69" s="5"/>
      <c r="I69" s="5"/>
      <c r="J69" s="88"/>
      <c r="K69" s="88"/>
      <c r="L69" s="88"/>
      <c r="M69" s="88"/>
      <c r="N69" s="88">
        <v>0</v>
      </c>
      <c r="O69" s="88">
        <v>0</v>
      </c>
    </row>
    <row r="70" spans="1:15" x14ac:dyDescent="0.25">
      <c r="A70" t="s">
        <v>74</v>
      </c>
      <c r="B70" s="85">
        <v>46091</v>
      </c>
      <c r="C70" s="86">
        <f t="shared" si="2"/>
        <v>3</v>
      </c>
      <c r="D70" s="5">
        <v>948675</v>
      </c>
      <c r="E70" s="5">
        <f t="shared" si="3"/>
        <v>422</v>
      </c>
      <c r="F70" s="5"/>
      <c r="G70" s="5">
        <v>11145</v>
      </c>
      <c r="H70" s="5">
        <v>25037.599999999999</v>
      </c>
      <c r="I70" s="5"/>
      <c r="J70" s="88"/>
      <c r="K70" s="88"/>
      <c r="L70" s="88"/>
      <c r="M70" s="88"/>
      <c r="N70" s="88">
        <v>0</v>
      </c>
      <c r="O70" s="88">
        <v>0</v>
      </c>
    </row>
    <row r="71" spans="1:15" x14ac:dyDescent="0.25">
      <c r="A71" t="s">
        <v>68</v>
      </c>
      <c r="B71" s="85">
        <v>46092</v>
      </c>
      <c r="C71" s="86">
        <f t="shared" si="2"/>
        <v>3</v>
      </c>
      <c r="D71" s="5">
        <v>949019</v>
      </c>
      <c r="E71" s="5">
        <f t="shared" si="3"/>
        <v>344</v>
      </c>
      <c r="F71" s="5"/>
      <c r="G71" s="5">
        <v>8407</v>
      </c>
      <c r="H71" s="5"/>
      <c r="I71" s="5"/>
      <c r="J71" s="88"/>
      <c r="K71" s="88"/>
      <c r="L71" s="88"/>
      <c r="M71" s="88"/>
      <c r="N71" s="88">
        <v>0</v>
      </c>
      <c r="O71" s="88">
        <v>0</v>
      </c>
    </row>
    <row r="72" spans="1:15" x14ac:dyDescent="0.25">
      <c r="A72" t="s">
        <v>69</v>
      </c>
      <c r="B72" s="85">
        <v>46093</v>
      </c>
      <c r="C72" s="86">
        <f t="shared" si="2"/>
        <v>3</v>
      </c>
      <c r="D72" s="5">
        <v>949317</v>
      </c>
      <c r="E72" s="5">
        <f t="shared" si="3"/>
        <v>298</v>
      </c>
      <c r="F72" s="5"/>
      <c r="G72" s="5">
        <v>12077</v>
      </c>
      <c r="H72" s="5">
        <v>31744.75</v>
      </c>
      <c r="I72" s="5"/>
      <c r="J72" s="88"/>
      <c r="K72" s="88"/>
      <c r="L72" s="88"/>
      <c r="M72" s="88"/>
      <c r="N72" s="88">
        <v>0</v>
      </c>
      <c r="O72" s="88">
        <v>0</v>
      </c>
    </row>
    <row r="73" spans="1:15" x14ac:dyDescent="0.25">
      <c r="A73" t="s">
        <v>70</v>
      </c>
      <c r="B73" s="85">
        <v>46094</v>
      </c>
      <c r="C73" s="86">
        <f t="shared" si="2"/>
        <v>3</v>
      </c>
      <c r="D73" s="5">
        <v>949704</v>
      </c>
      <c r="E73" s="5">
        <f t="shared" si="3"/>
        <v>387</v>
      </c>
      <c r="F73" s="5"/>
      <c r="G73" s="5">
        <v>8296</v>
      </c>
      <c r="H73" s="5"/>
      <c r="I73" s="5"/>
      <c r="J73" s="88"/>
      <c r="K73" s="88"/>
      <c r="L73" s="88"/>
      <c r="M73" s="88"/>
      <c r="N73" s="88">
        <v>0</v>
      </c>
      <c r="O73" s="88">
        <v>0</v>
      </c>
    </row>
    <row r="74" spans="1:15" x14ac:dyDescent="0.25">
      <c r="A74" t="s">
        <v>71</v>
      </c>
      <c r="B74" s="85">
        <v>46095</v>
      </c>
      <c r="C74" s="86">
        <f t="shared" si="2"/>
        <v>3</v>
      </c>
      <c r="D74" s="5">
        <v>949704</v>
      </c>
      <c r="E74" s="5">
        <f t="shared" si="3"/>
        <v>0</v>
      </c>
      <c r="F74" s="5"/>
      <c r="G74" s="5">
        <v>4610</v>
      </c>
      <c r="H74" s="5"/>
      <c r="I74" s="5"/>
      <c r="J74" s="88"/>
      <c r="K74" s="88"/>
      <c r="L74" s="88"/>
      <c r="M74" s="88"/>
      <c r="N74" s="88">
        <v>0</v>
      </c>
      <c r="O74" s="88">
        <v>0</v>
      </c>
    </row>
    <row r="75" spans="1:15" x14ac:dyDescent="0.25">
      <c r="A75" t="s">
        <v>72</v>
      </c>
      <c r="B75" s="85">
        <v>46096</v>
      </c>
      <c r="C75" s="86">
        <f t="shared" si="2"/>
        <v>3</v>
      </c>
      <c r="D75" s="5">
        <v>949704</v>
      </c>
      <c r="E75" s="5">
        <f t="shared" si="3"/>
        <v>0</v>
      </c>
      <c r="F75" s="5"/>
      <c r="G75" s="5">
        <v>4454</v>
      </c>
      <c r="H75" s="5"/>
      <c r="I75" s="5"/>
      <c r="J75" s="88"/>
      <c r="K75" s="88"/>
      <c r="L75" s="88"/>
      <c r="M75" s="88"/>
      <c r="N75" s="88">
        <v>0</v>
      </c>
      <c r="O75" s="88">
        <v>0</v>
      </c>
    </row>
    <row r="76" spans="1:15" x14ac:dyDescent="0.25">
      <c r="A76" t="s">
        <v>73</v>
      </c>
      <c r="B76" s="85">
        <v>46097</v>
      </c>
      <c r="C76" s="86">
        <f t="shared" si="2"/>
        <v>3</v>
      </c>
      <c r="D76" s="5">
        <v>949842</v>
      </c>
      <c r="E76" s="5">
        <f t="shared" si="3"/>
        <v>138</v>
      </c>
      <c r="F76" s="5"/>
      <c r="G76" s="5">
        <v>6645</v>
      </c>
      <c r="H76" s="5"/>
      <c r="I76" s="5"/>
      <c r="J76" s="88"/>
      <c r="K76" s="88"/>
      <c r="L76" s="88"/>
      <c r="M76" s="88"/>
      <c r="N76" s="88">
        <v>0</v>
      </c>
      <c r="O76" s="88">
        <v>0</v>
      </c>
    </row>
    <row r="77" spans="1:15" x14ac:dyDescent="0.25">
      <c r="A77" t="s">
        <v>74</v>
      </c>
      <c r="B77" s="85">
        <v>46098</v>
      </c>
      <c r="C77" s="86">
        <f t="shared" si="2"/>
        <v>3</v>
      </c>
      <c r="D77" s="5">
        <v>950187</v>
      </c>
      <c r="E77" s="5">
        <f t="shared" si="3"/>
        <v>345</v>
      </c>
      <c r="F77" s="5"/>
      <c r="G77" s="5">
        <v>11346</v>
      </c>
      <c r="H77" s="5">
        <v>26562.05</v>
      </c>
      <c r="I77" s="5"/>
      <c r="J77" s="88"/>
      <c r="K77" s="88"/>
      <c r="L77" s="88"/>
      <c r="M77" s="88"/>
      <c r="N77" s="88">
        <v>0</v>
      </c>
      <c r="O77" s="88">
        <v>0</v>
      </c>
    </row>
    <row r="78" spans="1:15" x14ac:dyDescent="0.25">
      <c r="A78" t="s">
        <v>68</v>
      </c>
      <c r="B78" s="85">
        <v>46099</v>
      </c>
      <c r="C78" s="86">
        <f t="shared" si="2"/>
        <v>3</v>
      </c>
      <c r="D78" s="5">
        <v>950461</v>
      </c>
      <c r="E78" s="5">
        <f t="shared" si="3"/>
        <v>274</v>
      </c>
      <c r="F78" s="5"/>
      <c r="G78" s="5">
        <v>8339</v>
      </c>
      <c r="H78" s="5"/>
      <c r="I78" s="5"/>
      <c r="J78" s="88"/>
      <c r="K78" s="88"/>
      <c r="L78" s="88"/>
      <c r="M78" s="88"/>
      <c r="N78" s="88">
        <v>0</v>
      </c>
      <c r="O78" s="88">
        <v>0</v>
      </c>
    </row>
    <row r="79" spans="1:15" x14ac:dyDescent="0.25">
      <c r="A79" t="s">
        <v>69</v>
      </c>
      <c r="B79" s="85">
        <v>46100</v>
      </c>
      <c r="C79" s="86">
        <f t="shared" si="2"/>
        <v>3</v>
      </c>
      <c r="D79" s="5">
        <v>950871</v>
      </c>
      <c r="E79" s="5">
        <f t="shared" si="3"/>
        <v>410</v>
      </c>
      <c r="F79" s="5"/>
      <c r="G79" s="5">
        <v>12482</v>
      </c>
      <c r="H79" s="5">
        <v>31882.6</v>
      </c>
      <c r="I79" s="5"/>
      <c r="J79" s="88"/>
      <c r="K79" s="88"/>
      <c r="L79" s="88"/>
      <c r="M79" s="88"/>
      <c r="N79" s="88">
        <v>0</v>
      </c>
      <c r="O79" s="88">
        <v>0</v>
      </c>
    </row>
    <row r="80" spans="1:15" x14ac:dyDescent="0.25">
      <c r="A80" t="s">
        <v>70</v>
      </c>
      <c r="B80" s="85">
        <v>46101</v>
      </c>
      <c r="C80" s="86">
        <f t="shared" si="2"/>
        <v>3</v>
      </c>
      <c r="D80" s="5">
        <v>951080</v>
      </c>
      <c r="E80" s="5">
        <f t="shared" si="3"/>
        <v>209</v>
      </c>
      <c r="F80" s="5"/>
      <c r="G80" s="5">
        <v>8314</v>
      </c>
      <c r="H80" s="5"/>
      <c r="I80" s="5"/>
      <c r="J80" s="88"/>
      <c r="K80" s="88"/>
      <c r="L80" s="88"/>
      <c r="M80" s="88"/>
      <c r="N80" s="88">
        <v>0</v>
      </c>
      <c r="O80" s="88">
        <v>0</v>
      </c>
    </row>
    <row r="81" spans="1:15" x14ac:dyDescent="0.25">
      <c r="A81" t="s">
        <v>71</v>
      </c>
      <c r="B81" s="85">
        <v>46102</v>
      </c>
      <c r="C81" s="86">
        <f t="shared" si="2"/>
        <v>3</v>
      </c>
      <c r="D81" s="5">
        <v>951080</v>
      </c>
      <c r="E81" s="5">
        <f t="shared" si="3"/>
        <v>0</v>
      </c>
      <c r="F81" s="5"/>
      <c r="G81" s="5">
        <v>4666</v>
      </c>
      <c r="H81" s="5"/>
      <c r="I81" s="5"/>
      <c r="J81" s="88"/>
      <c r="K81" s="88"/>
      <c r="L81" s="88"/>
      <c r="M81" s="88"/>
      <c r="N81" s="88" t="e">
        <f>+L81/M81</f>
        <v>#DIV/0!</v>
      </c>
      <c r="O81" s="89" t="e">
        <f>L81/(I81-J81-K81)</f>
        <v>#DIV/0!</v>
      </c>
    </row>
    <row r="82" spans="1:15" x14ac:dyDescent="0.25">
      <c r="A82" t="s">
        <v>72</v>
      </c>
      <c r="B82" s="85">
        <v>46103</v>
      </c>
      <c r="C82" s="86">
        <f t="shared" si="2"/>
        <v>3</v>
      </c>
      <c r="D82" s="5">
        <v>951080</v>
      </c>
      <c r="E82" s="5">
        <f t="shared" si="3"/>
        <v>0</v>
      </c>
      <c r="F82" s="5"/>
      <c r="G82" s="5">
        <v>4528</v>
      </c>
      <c r="H82" s="5"/>
      <c r="I82" s="5"/>
      <c r="J82" s="88"/>
      <c r="K82" s="88"/>
      <c r="L82" s="88"/>
      <c r="M82" s="88"/>
      <c r="N82" s="88">
        <v>0</v>
      </c>
      <c r="O82" s="88">
        <v>0</v>
      </c>
    </row>
    <row r="83" spans="1:15" x14ac:dyDescent="0.25">
      <c r="A83" t="s">
        <v>73</v>
      </c>
      <c r="B83" s="85">
        <v>46104</v>
      </c>
      <c r="C83" s="86">
        <f t="shared" si="2"/>
        <v>3</v>
      </c>
      <c r="D83" s="5">
        <v>951467</v>
      </c>
      <c r="E83" s="5">
        <f t="shared" si="3"/>
        <v>387</v>
      </c>
      <c r="F83" s="5"/>
      <c r="G83" s="5">
        <v>11489</v>
      </c>
      <c r="H83" s="5">
        <v>19106.740000000002</v>
      </c>
      <c r="I83" s="5"/>
      <c r="J83" s="88"/>
      <c r="K83" s="88"/>
      <c r="L83" s="88"/>
      <c r="M83" s="88"/>
      <c r="N83" s="88">
        <v>0</v>
      </c>
      <c r="O83" s="88">
        <v>0</v>
      </c>
    </row>
    <row r="84" spans="1:15" x14ac:dyDescent="0.25">
      <c r="A84" t="s">
        <v>74</v>
      </c>
      <c r="B84" s="85">
        <v>46105</v>
      </c>
      <c r="C84" s="86">
        <f t="shared" si="2"/>
        <v>3</v>
      </c>
      <c r="D84" s="5">
        <v>951835</v>
      </c>
      <c r="E84" s="5">
        <f t="shared" si="3"/>
        <v>368</v>
      </c>
      <c r="F84" s="5"/>
      <c r="G84" s="5">
        <v>11891</v>
      </c>
      <c r="H84" s="5">
        <v>22136.65</v>
      </c>
      <c r="I84" s="5"/>
      <c r="J84" s="88"/>
      <c r="K84" s="88"/>
      <c r="L84" s="88"/>
      <c r="M84" s="88"/>
      <c r="N84" s="88">
        <v>0</v>
      </c>
      <c r="O84" s="88">
        <v>0</v>
      </c>
    </row>
    <row r="85" spans="1:15" x14ac:dyDescent="0.25">
      <c r="A85" t="s">
        <v>68</v>
      </c>
      <c r="B85" s="85">
        <v>46106</v>
      </c>
      <c r="C85" s="86">
        <f t="shared" si="2"/>
        <v>3</v>
      </c>
      <c r="D85" s="5">
        <v>952113</v>
      </c>
      <c r="E85" s="5">
        <f t="shared" si="3"/>
        <v>278</v>
      </c>
      <c r="F85" s="5"/>
      <c r="G85" s="5">
        <v>8589</v>
      </c>
      <c r="H85" s="5"/>
      <c r="I85" s="5"/>
      <c r="J85" s="88"/>
      <c r="K85" s="88"/>
      <c r="L85" s="88"/>
      <c r="M85" s="88"/>
      <c r="N85" s="88">
        <v>0</v>
      </c>
      <c r="O85" s="88">
        <v>0</v>
      </c>
    </row>
    <row r="86" spans="1:15" x14ac:dyDescent="0.25">
      <c r="A86" t="s">
        <v>69</v>
      </c>
      <c r="B86" s="85">
        <v>46107</v>
      </c>
      <c r="C86" s="86">
        <f t="shared" si="2"/>
        <v>3</v>
      </c>
      <c r="D86" s="5">
        <v>952540</v>
      </c>
      <c r="E86" s="5">
        <f t="shared" si="3"/>
        <v>427</v>
      </c>
      <c r="F86" s="5"/>
      <c r="G86" s="5">
        <v>14266</v>
      </c>
      <c r="H86" s="5">
        <v>39108</v>
      </c>
      <c r="I86" s="5"/>
      <c r="J86" s="88"/>
      <c r="K86" s="88"/>
      <c r="L86" s="88"/>
      <c r="M86" s="88"/>
      <c r="N86" s="88">
        <v>0</v>
      </c>
      <c r="O86" s="88">
        <v>0</v>
      </c>
    </row>
    <row r="87" spans="1:15" x14ac:dyDescent="0.25">
      <c r="A87" t="s">
        <v>70</v>
      </c>
      <c r="B87" s="85">
        <v>46108</v>
      </c>
      <c r="C87" s="86">
        <f t="shared" si="2"/>
        <v>3</v>
      </c>
      <c r="D87" s="5">
        <v>952774</v>
      </c>
      <c r="E87" s="5">
        <f t="shared" si="3"/>
        <v>234</v>
      </c>
      <c r="F87" s="5"/>
      <c r="G87" s="5">
        <v>8216</v>
      </c>
      <c r="H87" s="5"/>
      <c r="I87" s="5"/>
      <c r="J87" s="88"/>
      <c r="K87" s="88"/>
      <c r="L87" s="88"/>
      <c r="M87" s="88"/>
      <c r="N87" s="88">
        <v>0</v>
      </c>
      <c r="O87" s="88">
        <v>0</v>
      </c>
    </row>
    <row r="88" spans="1:15" x14ac:dyDescent="0.25">
      <c r="A88" t="s">
        <v>71</v>
      </c>
      <c r="B88" s="85">
        <v>46109</v>
      </c>
      <c r="C88" s="86">
        <f t="shared" si="2"/>
        <v>3</v>
      </c>
      <c r="D88" s="5">
        <v>952774</v>
      </c>
      <c r="E88" s="5">
        <f t="shared" si="3"/>
        <v>0</v>
      </c>
      <c r="F88" s="5"/>
      <c r="G88" s="5">
        <v>4522</v>
      </c>
      <c r="H88" s="5"/>
      <c r="I88" s="5"/>
      <c r="J88" s="88"/>
      <c r="K88" s="88"/>
      <c r="L88" s="88"/>
      <c r="M88" s="88"/>
      <c r="N88" s="88">
        <v>0</v>
      </c>
      <c r="O88" s="88">
        <v>0</v>
      </c>
    </row>
    <row r="89" spans="1:15" x14ac:dyDescent="0.25">
      <c r="A89" t="s">
        <v>72</v>
      </c>
      <c r="B89" s="85">
        <v>46110</v>
      </c>
      <c r="C89" s="86">
        <f t="shared" si="2"/>
        <v>3</v>
      </c>
      <c r="D89" s="5">
        <v>952774</v>
      </c>
      <c r="E89" s="5">
        <f t="shared" si="3"/>
        <v>0</v>
      </c>
      <c r="F89" s="5"/>
      <c r="G89" s="5">
        <v>4222</v>
      </c>
      <c r="H89" s="5"/>
      <c r="I89" s="5"/>
      <c r="J89" s="88"/>
      <c r="K89" s="88"/>
      <c r="L89" s="88"/>
      <c r="M89" s="88"/>
      <c r="N89" s="88">
        <v>0</v>
      </c>
      <c r="O89" s="88">
        <v>0</v>
      </c>
    </row>
    <row r="90" spans="1:15" x14ac:dyDescent="0.25">
      <c r="A90" t="s">
        <v>73</v>
      </c>
      <c r="B90" s="85">
        <v>46111</v>
      </c>
      <c r="C90" s="86">
        <f t="shared" si="2"/>
        <v>3</v>
      </c>
      <c r="D90" s="5">
        <v>953251</v>
      </c>
      <c r="E90" s="5">
        <f t="shared" si="3"/>
        <v>477</v>
      </c>
      <c r="F90" s="5"/>
      <c r="G90" s="5">
        <v>12346</v>
      </c>
      <c r="H90" s="5">
        <v>35041</v>
      </c>
      <c r="I90" s="5"/>
      <c r="J90" s="88"/>
      <c r="K90" s="88"/>
      <c r="L90" s="88"/>
      <c r="M90" s="88"/>
      <c r="N90" s="88">
        <v>0</v>
      </c>
      <c r="O90" s="88">
        <v>0</v>
      </c>
    </row>
    <row r="91" spans="1:15" x14ac:dyDescent="0.25">
      <c r="A91" t="s">
        <v>74</v>
      </c>
      <c r="B91" s="85">
        <v>46112</v>
      </c>
      <c r="C91" s="86">
        <f t="shared" si="2"/>
        <v>3</v>
      </c>
      <c r="D91" s="5">
        <v>953380</v>
      </c>
      <c r="E91" s="5">
        <f t="shared" si="3"/>
        <v>129</v>
      </c>
      <c r="F91" s="5"/>
      <c r="G91" s="5">
        <v>9441</v>
      </c>
      <c r="H91" s="5"/>
      <c r="I91" s="5"/>
      <c r="J91" s="88"/>
      <c r="K91" s="88"/>
      <c r="L91" s="88"/>
      <c r="M91" s="88"/>
      <c r="N91" s="88">
        <v>0</v>
      </c>
      <c r="O91" s="88">
        <v>0</v>
      </c>
    </row>
    <row r="92" spans="1:15" x14ac:dyDescent="0.25">
      <c r="A92" t="s">
        <v>68</v>
      </c>
      <c r="B92" s="85">
        <v>46113</v>
      </c>
      <c r="C92" s="86">
        <f t="shared" si="2"/>
        <v>4</v>
      </c>
      <c r="D92" s="5">
        <v>953788</v>
      </c>
      <c r="E92" s="5">
        <f t="shared" si="3"/>
        <v>408</v>
      </c>
      <c r="F92" s="5"/>
      <c r="G92" s="5">
        <v>11579</v>
      </c>
      <c r="H92" s="5">
        <v>21449.279999999999</v>
      </c>
      <c r="I92" s="5"/>
      <c r="J92" s="88"/>
      <c r="K92" s="88"/>
      <c r="L92" s="88"/>
      <c r="M92" s="88"/>
      <c r="N92" s="88">
        <v>0</v>
      </c>
      <c r="O92" s="88">
        <v>0</v>
      </c>
    </row>
    <row r="93" spans="1:15" x14ac:dyDescent="0.25">
      <c r="A93" t="s">
        <v>69</v>
      </c>
      <c r="B93" s="85">
        <v>46114</v>
      </c>
      <c r="C93" s="86">
        <f t="shared" si="2"/>
        <v>4</v>
      </c>
      <c r="D93" s="5">
        <v>953821</v>
      </c>
      <c r="E93" s="5">
        <f t="shared" si="3"/>
        <v>33</v>
      </c>
      <c r="F93" s="5"/>
      <c r="G93" s="5">
        <v>5300</v>
      </c>
      <c r="H93" s="5"/>
      <c r="I93" s="5"/>
      <c r="J93" s="88"/>
      <c r="K93" s="88"/>
      <c r="L93" s="88"/>
      <c r="M93" s="88"/>
      <c r="N93" s="88">
        <v>0</v>
      </c>
      <c r="O93" s="88">
        <v>0</v>
      </c>
    </row>
    <row r="94" spans="1:15" x14ac:dyDescent="0.25">
      <c r="A94" t="s">
        <v>70</v>
      </c>
      <c r="B94" s="85">
        <v>46115</v>
      </c>
      <c r="C94" s="86">
        <f t="shared" si="2"/>
        <v>4</v>
      </c>
      <c r="D94" s="5">
        <v>953966</v>
      </c>
      <c r="E94" s="5">
        <f t="shared" si="3"/>
        <v>145</v>
      </c>
      <c r="F94" s="5"/>
      <c r="G94" s="5">
        <v>4947</v>
      </c>
      <c r="H94" s="5"/>
      <c r="I94" s="5"/>
      <c r="J94" s="88"/>
      <c r="K94" s="88"/>
      <c r="L94" s="88"/>
      <c r="M94" s="88"/>
      <c r="N94" s="88">
        <v>0</v>
      </c>
      <c r="O94" s="88">
        <v>0</v>
      </c>
    </row>
    <row r="95" spans="1:15" x14ac:dyDescent="0.25">
      <c r="A95" t="s">
        <v>71</v>
      </c>
      <c r="B95" s="85">
        <v>46116</v>
      </c>
      <c r="C95" s="86">
        <f t="shared" si="2"/>
        <v>4</v>
      </c>
      <c r="D95" s="5">
        <v>953966</v>
      </c>
      <c r="E95" s="5">
        <f t="shared" si="3"/>
        <v>0</v>
      </c>
      <c r="F95" s="5"/>
      <c r="G95" s="5">
        <v>4806</v>
      </c>
      <c r="H95" s="5"/>
      <c r="I95" s="5"/>
      <c r="J95" s="88"/>
      <c r="K95" s="88"/>
      <c r="L95" s="88"/>
      <c r="M95" s="88"/>
      <c r="N95" s="88" t="e">
        <f>+L95/M95</f>
        <v>#DIV/0!</v>
      </c>
      <c r="O95" s="89" t="e">
        <f>L95/(I95-J95-K95)</f>
        <v>#DIV/0!</v>
      </c>
    </row>
    <row r="96" spans="1:15" x14ac:dyDescent="0.25">
      <c r="A96" t="s">
        <v>72</v>
      </c>
      <c r="B96" s="85">
        <v>46117</v>
      </c>
      <c r="C96" s="86">
        <f t="shared" si="2"/>
        <v>4</v>
      </c>
      <c r="D96" s="5">
        <v>953966</v>
      </c>
      <c r="E96" s="5">
        <f t="shared" si="3"/>
        <v>0</v>
      </c>
      <c r="F96" s="5"/>
      <c r="G96" s="5">
        <v>4746</v>
      </c>
      <c r="H96" s="5"/>
      <c r="I96" s="5"/>
      <c r="J96" s="88"/>
      <c r="K96" s="88"/>
      <c r="L96" s="88"/>
      <c r="M96" s="88"/>
      <c r="N96" s="88">
        <v>0</v>
      </c>
      <c r="O96" s="88">
        <v>0</v>
      </c>
    </row>
    <row r="97" spans="1:15" x14ac:dyDescent="0.25">
      <c r="A97" t="s">
        <v>73</v>
      </c>
      <c r="B97" s="85">
        <v>46118</v>
      </c>
      <c r="C97" s="86">
        <f t="shared" si="2"/>
        <v>4</v>
      </c>
      <c r="D97" s="5">
        <v>954409</v>
      </c>
      <c r="E97" s="5">
        <f t="shared" si="3"/>
        <v>443</v>
      </c>
      <c r="F97" s="5"/>
      <c r="G97" s="5">
        <v>12467</v>
      </c>
      <c r="H97" s="5">
        <v>27593.45</v>
      </c>
      <c r="I97" s="5"/>
      <c r="J97" s="88"/>
      <c r="K97" s="88"/>
      <c r="L97" s="88"/>
      <c r="M97" s="88"/>
      <c r="N97" s="88">
        <v>0</v>
      </c>
      <c r="O97" s="88">
        <v>0</v>
      </c>
    </row>
    <row r="98" spans="1:15" x14ac:dyDescent="0.25">
      <c r="A98" t="s">
        <v>74</v>
      </c>
      <c r="B98" s="85">
        <v>46119</v>
      </c>
      <c r="C98" s="86">
        <f t="shared" si="2"/>
        <v>4</v>
      </c>
      <c r="D98" s="5">
        <v>954747</v>
      </c>
      <c r="E98" s="5">
        <f t="shared" si="3"/>
        <v>338</v>
      </c>
      <c r="F98" s="5"/>
      <c r="G98" s="5">
        <v>12816</v>
      </c>
      <c r="H98" s="5">
        <v>22613.18</v>
      </c>
      <c r="I98" s="5"/>
      <c r="J98" s="88"/>
      <c r="K98" s="88"/>
      <c r="L98" s="88"/>
      <c r="M98" s="88"/>
      <c r="N98" s="88">
        <v>0</v>
      </c>
      <c r="O98" s="88">
        <v>0</v>
      </c>
    </row>
    <row r="99" spans="1:15" x14ac:dyDescent="0.25">
      <c r="A99" t="s">
        <v>68</v>
      </c>
      <c r="B99" s="85">
        <v>46120</v>
      </c>
      <c r="C99" s="86">
        <f t="shared" si="2"/>
        <v>4</v>
      </c>
      <c r="D99" s="5">
        <v>954968</v>
      </c>
      <c r="E99" s="5">
        <f t="shared" si="3"/>
        <v>221</v>
      </c>
      <c r="F99" s="5"/>
      <c r="G99" s="5">
        <v>9137</v>
      </c>
      <c r="H99" s="5"/>
      <c r="I99" s="5"/>
      <c r="J99" s="88"/>
      <c r="K99" s="88"/>
      <c r="L99" s="88"/>
      <c r="M99" s="88"/>
      <c r="N99" s="88">
        <v>0</v>
      </c>
      <c r="O99" s="89">
        <v>0</v>
      </c>
    </row>
    <row r="100" spans="1:15" x14ac:dyDescent="0.25">
      <c r="A100" t="s">
        <v>69</v>
      </c>
      <c r="B100" s="85">
        <v>46121</v>
      </c>
      <c r="C100" s="86">
        <f t="shared" si="2"/>
        <v>4</v>
      </c>
      <c r="D100" s="5">
        <v>955219</v>
      </c>
      <c r="E100" s="5">
        <f t="shared" si="3"/>
        <v>251</v>
      </c>
      <c r="F100" s="5"/>
      <c r="G100" s="5">
        <v>11753</v>
      </c>
      <c r="H100" s="5">
        <v>17255.400000000001</v>
      </c>
      <c r="I100" s="5"/>
      <c r="J100" s="88"/>
      <c r="K100" s="88"/>
      <c r="L100" s="88"/>
      <c r="M100" s="88"/>
      <c r="N100" s="88" t="e">
        <f>+L100/M100</f>
        <v>#DIV/0!</v>
      </c>
      <c r="O100" s="89" t="e">
        <f>L100/(I100-J100-K100)</f>
        <v>#DIV/0!</v>
      </c>
    </row>
    <row r="101" spans="1:15" x14ac:dyDescent="0.25">
      <c r="A101" t="s">
        <v>70</v>
      </c>
      <c r="B101" s="85">
        <v>46122</v>
      </c>
      <c r="C101" s="86">
        <f t="shared" si="2"/>
        <v>4</v>
      </c>
      <c r="D101" s="5">
        <v>955504</v>
      </c>
      <c r="E101" s="5">
        <f t="shared" si="3"/>
        <v>285</v>
      </c>
      <c r="F101" s="5"/>
      <c r="G101" s="5">
        <v>7797</v>
      </c>
      <c r="H101" s="5"/>
      <c r="I101" s="5"/>
      <c r="J101" s="88"/>
      <c r="K101" s="88"/>
      <c r="L101" s="88"/>
      <c r="M101" s="88"/>
      <c r="N101" s="88">
        <v>0</v>
      </c>
      <c r="O101" s="88">
        <v>0</v>
      </c>
    </row>
    <row r="102" spans="1:15" x14ac:dyDescent="0.25">
      <c r="A102" t="s">
        <v>71</v>
      </c>
      <c r="B102" s="85">
        <v>46123</v>
      </c>
      <c r="C102" s="86">
        <f t="shared" si="2"/>
        <v>4</v>
      </c>
      <c r="D102" s="5">
        <v>955578</v>
      </c>
      <c r="E102" s="5">
        <f t="shared" si="3"/>
        <v>74</v>
      </c>
      <c r="F102" s="5"/>
      <c r="G102" s="5">
        <v>5327</v>
      </c>
      <c r="H102" s="5"/>
      <c r="I102" s="5"/>
      <c r="J102" s="88"/>
      <c r="K102" s="88"/>
      <c r="L102" s="88"/>
      <c r="M102" s="88"/>
      <c r="N102" s="88" t="e">
        <f>+L102/M102</f>
        <v>#DIV/0!</v>
      </c>
      <c r="O102" s="89" t="e">
        <f>L102/(I102-J102-K102)</f>
        <v>#DIV/0!</v>
      </c>
    </row>
    <row r="103" spans="1:15" x14ac:dyDescent="0.25">
      <c r="A103" t="s">
        <v>72</v>
      </c>
      <c r="B103" s="85">
        <v>46124</v>
      </c>
      <c r="C103" s="86">
        <f t="shared" si="2"/>
        <v>4</v>
      </c>
      <c r="D103" s="5">
        <v>955578</v>
      </c>
      <c r="E103" s="5">
        <f t="shared" si="3"/>
        <v>0</v>
      </c>
      <c r="F103" s="5"/>
      <c r="G103" s="5">
        <v>4717</v>
      </c>
      <c r="H103" s="5"/>
      <c r="I103" s="5"/>
      <c r="J103" s="88"/>
      <c r="K103" s="88"/>
      <c r="L103" s="88"/>
      <c r="M103" s="88"/>
      <c r="N103" s="88">
        <v>0</v>
      </c>
      <c r="O103" s="88">
        <v>0</v>
      </c>
    </row>
    <row r="104" spans="1:15" x14ac:dyDescent="0.25">
      <c r="A104" t="s">
        <v>73</v>
      </c>
      <c r="B104" s="85">
        <v>46125</v>
      </c>
      <c r="C104" s="86">
        <f t="shared" si="2"/>
        <v>4</v>
      </c>
      <c r="D104" s="5">
        <v>955999</v>
      </c>
      <c r="E104" s="5">
        <f t="shared" si="3"/>
        <v>421</v>
      </c>
      <c r="F104" s="5"/>
      <c r="G104" s="5">
        <v>12856</v>
      </c>
      <c r="H104" s="5">
        <v>34569.33</v>
      </c>
      <c r="I104" s="5"/>
      <c r="J104" s="88"/>
      <c r="K104" s="88"/>
      <c r="L104" s="88"/>
      <c r="M104" s="88"/>
      <c r="N104" s="88">
        <v>0</v>
      </c>
      <c r="O104" s="88">
        <v>0</v>
      </c>
    </row>
    <row r="105" spans="1:15" x14ac:dyDescent="0.25">
      <c r="A105" t="s">
        <v>74</v>
      </c>
      <c r="B105" s="85">
        <v>46126</v>
      </c>
      <c r="C105" s="86">
        <f t="shared" si="2"/>
        <v>4</v>
      </c>
      <c r="D105" s="5">
        <v>956340</v>
      </c>
      <c r="E105" s="5">
        <f t="shared" si="3"/>
        <v>341</v>
      </c>
      <c r="F105" s="5"/>
      <c r="G105" s="5">
        <v>13864</v>
      </c>
      <c r="H105" s="5">
        <v>29452.639999999999</v>
      </c>
      <c r="I105" s="5"/>
      <c r="J105" s="88"/>
      <c r="K105" s="88"/>
      <c r="L105" s="88"/>
      <c r="M105" s="88"/>
      <c r="N105" s="88">
        <v>0</v>
      </c>
      <c r="O105" s="88">
        <v>0</v>
      </c>
    </row>
    <row r="106" spans="1:15" x14ac:dyDescent="0.25">
      <c r="A106" t="s">
        <v>68</v>
      </c>
      <c r="B106" s="85">
        <v>46127</v>
      </c>
      <c r="C106" s="86">
        <f t="shared" si="2"/>
        <v>4</v>
      </c>
      <c r="D106" s="5">
        <v>956679</v>
      </c>
      <c r="E106" s="5">
        <f t="shared" si="3"/>
        <v>339</v>
      </c>
      <c r="F106" s="5"/>
      <c r="G106" s="5">
        <v>9063</v>
      </c>
      <c r="H106" s="5"/>
      <c r="I106" s="5"/>
      <c r="J106" s="88"/>
      <c r="K106" s="88"/>
      <c r="L106" s="88"/>
      <c r="M106" s="88"/>
      <c r="N106" s="88">
        <v>0</v>
      </c>
      <c r="O106" s="88">
        <v>0</v>
      </c>
    </row>
    <row r="107" spans="1:15" x14ac:dyDescent="0.25">
      <c r="A107" t="s">
        <v>69</v>
      </c>
      <c r="B107" s="85">
        <v>46128</v>
      </c>
      <c r="C107" s="86">
        <f t="shared" si="2"/>
        <v>4</v>
      </c>
      <c r="D107" s="5">
        <v>957023</v>
      </c>
      <c r="E107" s="5">
        <f t="shared" si="3"/>
        <v>344</v>
      </c>
      <c r="F107" s="5"/>
      <c r="G107" s="5">
        <v>13745</v>
      </c>
      <c r="H107" s="5">
        <v>31442</v>
      </c>
      <c r="I107" s="5"/>
      <c r="J107" s="88"/>
      <c r="K107" s="88"/>
      <c r="L107" s="88"/>
      <c r="M107" s="88"/>
      <c r="N107" s="88">
        <v>0</v>
      </c>
      <c r="O107" s="88">
        <v>0</v>
      </c>
    </row>
    <row r="108" spans="1:15" x14ac:dyDescent="0.25">
      <c r="A108" t="s">
        <v>70</v>
      </c>
      <c r="B108" s="85">
        <v>46129</v>
      </c>
      <c r="C108" s="86">
        <f t="shared" si="2"/>
        <v>4</v>
      </c>
      <c r="D108" s="5">
        <v>957360</v>
      </c>
      <c r="E108" s="5">
        <f t="shared" si="3"/>
        <v>337</v>
      </c>
      <c r="F108" s="5"/>
      <c r="G108" s="5">
        <v>14576</v>
      </c>
      <c r="H108" s="5">
        <v>19067.620000000003</v>
      </c>
      <c r="I108" s="5"/>
      <c r="J108" s="88"/>
      <c r="K108" s="88"/>
      <c r="L108" s="88"/>
      <c r="M108" s="88"/>
      <c r="N108" s="88">
        <v>0</v>
      </c>
      <c r="O108" s="88">
        <v>0</v>
      </c>
    </row>
    <row r="109" spans="1:15" x14ac:dyDescent="0.25">
      <c r="A109" t="s">
        <v>71</v>
      </c>
      <c r="B109" s="85">
        <v>46130</v>
      </c>
      <c r="C109" s="86">
        <f t="shared" si="2"/>
        <v>4</v>
      </c>
      <c r="D109" s="5">
        <v>957634</v>
      </c>
      <c r="E109" s="5">
        <f t="shared" si="3"/>
        <v>274</v>
      </c>
      <c r="F109" s="5"/>
      <c r="G109" s="5">
        <v>6216</v>
      </c>
      <c r="H109" s="5"/>
      <c r="I109" s="5"/>
      <c r="J109" s="88"/>
      <c r="K109" s="88"/>
      <c r="L109" s="88"/>
      <c r="M109" s="88"/>
      <c r="N109" s="88">
        <v>0</v>
      </c>
      <c r="O109" s="88">
        <v>0</v>
      </c>
    </row>
    <row r="110" spans="1:15" x14ac:dyDescent="0.25">
      <c r="A110" t="s">
        <v>72</v>
      </c>
      <c r="B110" s="85">
        <v>46131</v>
      </c>
      <c r="C110" s="86">
        <f t="shared" si="2"/>
        <v>4</v>
      </c>
      <c r="D110" s="5">
        <v>957634</v>
      </c>
      <c r="E110" s="5">
        <f t="shared" si="3"/>
        <v>0</v>
      </c>
      <c r="F110" s="5"/>
      <c r="G110" s="5">
        <v>5257</v>
      </c>
      <c r="H110" s="5"/>
      <c r="I110" s="5"/>
      <c r="J110" s="88"/>
      <c r="K110" s="88"/>
      <c r="L110" s="88"/>
      <c r="M110" s="88"/>
      <c r="N110" s="88">
        <v>0</v>
      </c>
      <c r="O110" s="88">
        <v>0</v>
      </c>
    </row>
    <row r="111" spans="1:15" x14ac:dyDescent="0.25">
      <c r="A111" t="s">
        <v>73</v>
      </c>
      <c r="B111" s="85">
        <v>46132</v>
      </c>
      <c r="C111" s="86">
        <f t="shared" si="2"/>
        <v>4</v>
      </c>
      <c r="D111" s="5">
        <v>958070</v>
      </c>
      <c r="E111" s="5">
        <f t="shared" si="3"/>
        <v>436</v>
      </c>
      <c r="F111" s="5"/>
      <c r="G111" s="5">
        <v>14190</v>
      </c>
      <c r="H111" s="5">
        <v>35615.75</v>
      </c>
      <c r="I111" s="5"/>
      <c r="J111" s="88"/>
      <c r="K111" s="88"/>
      <c r="L111" s="88"/>
      <c r="M111" s="88"/>
      <c r="N111" s="88">
        <v>0</v>
      </c>
      <c r="O111" s="88">
        <v>0</v>
      </c>
    </row>
    <row r="112" spans="1:15" x14ac:dyDescent="0.25">
      <c r="A112" t="s">
        <v>74</v>
      </c>
      <c r="B112" s="85">
        <v>46133</v>
      </c>
      <c r="C112" s="86">
        <f t="shared" si="2"/>
        <v>4</v>
      </c>
      <c r="D112" s="5">
        <v>958354</v>
      </c>
      <c r="E112" s="5">
        <f t="shared" si="3"/>
        <v>284</v>
      </c>
      <c r="F112" s="5"/>
      <c r="G112" s="5">
        <v>9445</v>
      </c>
      <c r="H112" s="5"/>
      <c r="I112" s="5"/>
      <c r="J112" s="88"/>
      <c r="K112" s="88"/>
      <c r="L112" s="88"/>
      <c r="M112" s="88"/>
      <c r="N112" s="88">
        <v>0</v>
      </c>
      <c r="O112" s="88">
        <v>0</v>
      </c>
    </row>
    <row r="113" spans="1:15" x14ac:dyDescent="0.25">
      <c r="A113" t="s">
        <v>68</v>
      </c>
      <c r="B113" s="85">
        <v>46134</v>
      </c>
      <c r="C113" s="86">
        <f t="shared" si="2"/>
        <v>4</v>
      </c>
      <c r="D113" s="5">
        <v>958683</v>
      </c>
      <c r="E113" s="5">
        <f t="shared" si="3"/>
        <v>329</v>
      </c>
      <c r="F113" s="5"/>
      <c r="G113" s="5">
        <v>14302</v>
      </c>
      <c r="H113" s="5">
        <v>35669</v>
      </c>
      <c r="I113" s="5"/>
      <c r="J113" s="88"/>
      <c r="K113" s="88"/>
      <c r="L113" s="88"/>
      <c r="M113" s="88"/>
      <c r="N113" s="88">
        <v>0</v>
      </c>
      <c r="O113" s="88">
        <v>0</v>
      </c>
    </row>
    <row r="114" spans="1:15" x14ac:dyDescent="0.25">
      <c r="A114" t="s">
        <v>69</v>
      </c>
      <c r="B114" s="85">
        <v>46135</v>
      </c>
      <c r="C114" s="86">
        <f t="shared" si="2"/>
        <v>4</v>
      </c>
      <c r="D114" s="5">
        <v>959191</v>
      </c>
      <c r="E114" s="5">
        <f t="shared" si="3"/>
        <v>508</v>
      </c>
      <c r="F114" s="5"/>
      <c r="G114" s="5">
        <v>14854</v>
      </c>
      <c r="H114" s="5">
        <v>22932.560000000001</v>
      </c>
      <c r="I114" s="5"/>
      <c r="J114" s="88"/>
      <c r="K114" s="88"/>
      <c r="L114" s="88"/>
      <c r="M114" s="88"/>
      <c r="N114" s="88">
        <v>0</v>
      </c>
      <c r="O114" s="88">
        <v>0</v>
      </c>
    </row>
    <row r="115" spans="1:15" x14ac:dyDescent="0.25">
      <c r="A115" t="s">
        <v>70</v>
      </c>
      <c r="B115" s="85">
        <v>46136</v>
      </c>
      <c r="C115" s="86">
        <f t="shared" si="2"/>
        <v>4</v>
      </c>
      <c r="D115" s="5">
        <v>959325</v>
      </c>
      <c r="E115" s="5">
        <f t="shared" si="3"/>
        <v>134</v>
      </c>
      <c r="F115" s="5"/>
      <c r="G115" s="5">
        <v>6328</v>
      </c>
      <c r="H115" s="5"/>
      <c r="I115" s="5"/>
      <c r="J115" s="88"/>
      <c r="K115" s="88"/>
      <c r="L115" s="88"/>
      <c r="M115" s="88"/>
      <c r="N115" s="88">
        <v>0</v>
      </c>
      <c r="O115" s="88">
        <v>0</v>
      </c>
    </row>
    <row r="116" spans="1:15" x14ac:dyDescent="0.25">
      <c r="A116" t="s">
        <v>71</v>
      </c>
      <c r="B116" s="85">
        <v>46137</v>
      </c>
      <c r="C116" s="86">
        <f t="shared" si="2"/>
        <v>4</v>
      </c>
      <c r="D116" s="5">
        <v>959413</v>
      </c>
      <c r="E116" s="5">
        <f t="shared" si="3"/>
        <v>88</v>
      </c>
      <c r="F116" s="5"/>
      <c r="G116" s="5">
        <v>5161</v>
      </c>
      <c r="H116" s="5"/>
      <c r="I116" s="5"/>
      <c r="J116" s="88"/>
      <c r="K116" s="88"/>
      <c r="L116" s="88"/>
      <c r="M116" s="88"/>
      <c r="N116" s="88">
        <v>0</v>
      </c>
      <c r="O116" s="88">
        <v>0</v>
      </c>
    </row>
    <row r="117" spans="1:15" x14ac:dyDescent="0.25">
      <c r="A117" t="s">
        <v>72</v>
      </c>
      <c r="B117" s="85">
        <v>46138</v>
      </c>
      <c r="C117" s="86">
        <f t="shared" si="2"/>
        <v>4</v>
      </c>
      <c r="D117" s="5">
        <v>959413</v>
      </c>
      <c r="E117" s="5">
        <f t="shared" si="3"/>
        <v>0</v>
      </c>
      <c r="F117" s="5"/>
      <c r="G117" s="5">
        <v>4631</v>
      </c>
      <c r="H117" s="5"/>
      <c r="I117" s="5"/>
      <c r="J117" s="88"/>
      <c r="K117" s="88"/>
      <c r="L117" s="88"/>
      <c r="M117" s="88"/>
      <c r="N117" s="88">
        <v>0</v>
      </c>
      <c r="O117" s="88">
        <v>0</v>
      </c>
    </row>
    <row r="118" spans="1:15" x14ac:dyDescent="0.25">
      <c r="A118" t="s">
        <v>73</v>
      </c>
      <c r="B118" s="85">
        <v>46139</v>
      </c>
      <c r="C118" s="86">
        <f t="shared" si="2"/>
        <v>4</v>
      </c>
      <c r="D118" s="5">
        <v>959888</v>
      </c>
      <c r="E118" s="5">
        <f t="shared" si="3"/>
        <v>475</v>
      </c>
      <c r="F118" s="5"/>
      <c r="G118" s="5">
        <v>13532</v>
      </c>
      <c r="H118" s="5"/>
      <c r="I118" s="5"/>
      <c r="J118" s="88"/>
      <c r="K118" s="88"/>
      <c r="L118" s="88"/>
      <c r="M118" s="88"/>
      <c r="N118" s="88">
        <v>0</v>
      </c>
      <c r="O118" s="88">
        <v>0</v>
      </c>
    </row>
    <row r="119" spans="1:15" x14ac:dyDescent="0.25">
      <c r="A119" t="s">
        <v>74</v>
      </c>
      <c r="B119" s="85">
        <v>46140</v>
      </c>
      <c r="C119" s="86">
        <f t="shared" si="2"/>
        <v>4</v>
      </c>
      <c r="D119" s="5">
        <v>960106</v>
      </c>
      <c r="E119" s="5">
        <f t="shared" si="3"/>
        <v>218</v>
      </c>
      <c r="F119" s="5"/>
      <c r="G119" s="5">
        <v>15098</v>
      </c>
      <c r="H119" s="5"/>
      <c r="I119" s="5"/>
      <c r="J119" s="88"/>
      <c r="K119" s="88"/>
      <c r="L119" s="88"/>
      <c r="M119" s="88"/>
      <c r="N119" s="88">
        <v>0</v>
      </c>
      <c r="O119" s="88">
        <v>0</v>
      </c>
    </row>
    <row r="120" spans="1:15" x14ac:dyDescent="0.25">
      <c r="A120" t="s">
        <v>68</v>
      </c>
      <c r="B120" s="85">
        <v>46141</v>
      </c>
      <c r="C120" s="86">
        <f t="shared" si="2"/>
        <v>4</v>
      </c>
      <c r="D120" s="5"/>
      <c r="E120" s="5">
        <f t="shared" si="3"/>
        <v>-960106</v>
      </c>
      <c r="F120" s="5"/>
      <c r="G120" s="5">
        <v>13426</v>
      </c>
      <c r="H120" s="5"/>
      <c r="I120" s="5"/>
      <c r="J120" s="88"/>
      <c r="K120" s="88"/>
      <c r="L120" s="88"/>
      <c r="M120" s="88"/>
      <c r="N120" s="88">
        <v>0</v>
      </c>
      <c r="O120" s="88">
        <v>0</v>
      </c>
    </row>
    <row r="121" spans="1:15" x14ac:dyDescent="0.25">
      <c r="A121" t="s">
        <v>69</v>
      </c>
      <c r="B121" s="85">
        <v>46142</v>
      </c>
      <c r="C121" s="86">
        <f t="shared" si="2"/>
        <v>4</v>
      </c>
      <c r="D121" s="5"/>
      <c r="E121" s="5">
        <f t="shared" si="3"/>
        <v>0</v>
      </c>
      <c r="F121" s="5"/>
      <c r="G121" s="5">
        <v>13417</v>
      </c>
      <c r="H121" s="5"/>
      <c r="I121" s="5"/>
      <c r="J121" s="88"/>
      <c r="K121" s="88"/>
      <c r="L121" s="88"/>
      <c r="M121" s="88"/>
      <c r="N121" s="88">
        <v>0</v>
      </c>
      <c r="O121" s="88">
        <v>0</v>
      </c>
    </row>
    <row r="122" spans="1:15" x14ac:dyDescent="0.25">
      <c r="A122" t="s">
        <v>70</v>
      </c>
      <c r="B122" s="85">
        <v>46143</v>
      </c>
      <c r="C122" s="86">
        <f t="shared" si="2"/>
        <v>5</v>
      </c>
      <c r="D122" s="5"/>
      <c r="E122" s="5">
        <f t="shared" si="3"/>
        <v>0</v>
      </c>
      <c r="F122" s="5"/>
      <c r="G122" s="5"/>
      <c r="H122" s="5"/>
      <c r="I122" s="5"/>
      <c r="J122" s="88"/>
      <c r="K122" s="88"/>
      <c r="L122" s="88"/>
      <c r="M122" s="88"/>
      <c r="N122" s="88">
        <v>0</v>
      </c>
      <c r="O122" s="88">
        <v>0</v>
      </c>
    </row>
    <row r="123" spans="1:15" x14ac:dyDescent="0.25">
      <c r="A123" t="s">
        <v>71</v>
      </c>
      <c r="B123" s="85">
        <v>46144</v>
      </c>
      <c r="C123" s="86">
        <f t="shared" si="2"/>
        <v>5</v>
      </c>
      <c r="D123" s="5"/>
      <c r="E123" s="5">
        <f t="shared" si="3"/>
        <v>0</v>
      </c>
      <c r="F123" s="5"/>
      <c r="G123" s="5"/>
      <c r="H123" s="5"/>
      <c r="I123" s="5"/>
      <c r="J123" s="88"/>
      <c r="K123" s="88"/>
      <c r="L123" s="88"/>
      <c r="M123" s="88"/>
      <c r="N123" s="88">
        <v>0</v>
      </c>
      <c r="O123" s="88">
        <v>0</v>
      </c>
    </row>
    <row r="124" spans="1:15" x14ac:dyDescent="0.25">
      <c r="A124" t="s">
        <v>72</v>
      </c>
      <c r="B124" s="85">
        <v>46145</v>
      </c>
      <c r="C124" s="86">
        <f t="shared" si="2"/>
        <v>5</v>
      </c>
      <c r="D124" s="5"/>
      <c r="E124" s="5">
        <f t="shared" si="3"/>
        <v>0</v>
      </c>
      <c r="F124" s="5"/>
      <c r="G124" s="5"/>
      <c r="H124" s="5"/>
      <c r="I124" s="5"/>
      <c r="J124" s="88"/>
      <c r="K124" s="88"/>
      <c r="L124" s="88"/>
      <c r="M124" s="88"/>
      <c r="N124" s="88">
        <v>0</v>
      </c>
      <c r="O124" s="88">
        <v>0</v>
      </c>
    </row>
    <row r="125" spans="1:15" x14ac:dyDescent="0.25">
      <c r="A125" t="s">
        <v>73</v>
      </c>
      <c r="B125" s="85">
        <v>46146</v>
      </c>
      <c r="C125" s="86">
        <f t="shared" si="2"/>
        <v>5</v>
      </c>
      <c r="D125" s="5"/>
      <c r="E125" s="5">
        <f t="shared" si="3"/>
        <v>0</v>
      </c>
      <c r="F125" s="5"/>
      <c r="G125" s="5"/>
      <c r="H125" s="5"/>
      <c r="I125" s="5"/>
      <c r="J125" s="88"/>
      <c r="K125" s="88"/>
      <c r="L125" s="88"/>
      <c r="M125" s="88"/>
      <c r="N125" s="88">
        <v>0</v>
      </c>
      <c r="O125" s="88">
        <v>0</v>
      </c>
    </row>
    <row r="126" spans="1:15" x14ac:dyDescent="0.25">
      <c r="A126" t="s">
        <v>74</v>
      </c>
      <c r="B126" s="85">
        <v>46147</v>
      </c>
      <c r="C126" s="86">
        <f t="shared" si="2"/>
        <v>5</v>
      </c>
      <c r="D126" s="5"/>
      <c r="E126" s="5">
        <f t="shared" si="3"/>
        <v>0</v>
      </c>
      <c r="F126" s="5"/>
      <c r="G126" s="5"/>
      <c r="H126" s="5"/>
      <c r="I126" s="5"/>
      <c r="J126" s="88"/>
      <c r="K126" s="88"/>
      <c r="L126" s="88"/>
      <c r="M126" s="88"/>
      <c r="N126" s="88">
        <v>0</v>
      </c>
      <c r="O126" s="88">
        <v>0</v>
      </c>
    </row>
    <row r="127" spans="1:15" x14ac:dyDescent="0.25">
      <c r="A127" t="s">
        <v>68</v>
      </c>
      <c r="B127" s="85">
        <v>46148</v>
      </c>
      <c r="C127" s="86">
        <f t="shared" si="2"/>
        <v>5</v>
      </c>
      <c r="D127" s="5"/>
      <c r="E127" s="5">
        <f t="shared" si="3"/>
        <v>0</v>
      </c>
      <c r="F127" s="5"/>
      <c r="G127" s="5"/>
      <c r="H127" s="5"/>
      <c r="I127" s="5"/>
      <c r="J127" s="88"/>
      <c r="K127" s="88"/>
      <c r="L127" s="88"/>
      <c r="M127" s="88"/>
      <c r="N127" s="88">
        <v>0</v>
      </c>
      <c r="O127" s="88">
        <v>0</v>
      </c>
    </row>
    <row r="128" spans="1:15" x14ac:dyDescent="0.25">
      <c r="A128" t="s">
        <v>69</v>
      </c>
      <c r="B128" s="85">
        <v>46149</v>
      </c>
      <c r="C128" s="86">
        <f t="shared" si="2"/>
        <v>5</v>
      </c>
      <c r="D128" s="5"/>
      <c r="E128" s="5">
        <f t="shared" si="3"/>
        <v>0</v>
      </c>
      <c r="F128" s="5"/>
      <c r="G128" s="5"/>
      <c r="H128" s="5"/>
      <c r="I128" s="5"/>
      <c r="J128" s="88"/>
      <c r="K128" s="88"/>
      <c r="L128" s="88"/>
      <c r="M128" s="88"/>
      <c r="N128" s="88">
        <v>0</v>
      </c>
      <c r="O128" s="88">
        <v>0</v>
      </c>
    </row>
    <row r="129" spans="1:15" x14ac:dyDescent="0.25">
      <c r="A129" t="s">
        <v>70</v>
      </c>
      <c r="B129" s="85">
        <v>46150</v>
      </c>
      <c r="C129" s="86">
        <f t="shared" si="2"/>
        <v>5</v>
      </c>
      <c r="D129" s="5"/>
      <c r="E129" s="5">
        <f t="shared" si="3"/>
        <v>0</v>
      </c>
      <c r="F129" s="5"/>
      <c r="G129" s="5"/>
      <c r="H129" s="5"/>
      <c r="I129" s="5"/>
      <c r="J129" s="88"/>
      <c r="K129" s="88"/>
      <c r="L129" s="88"/>
      <c r="M129" s="88"/>
      <c r="N129" s="88">
        <v>0</v>
      </c>
      <c r="O129" s="88">
        <v>0</v>
      </c>
    </row>
    <row r="130" spans="1:15" x14ac:dyDescent="0.25">
      <c r="A130" t="s">
        <v>71</v>
      </c>
      <c r="B130" s="85">
        <v>46151</v>
      </c>
      <c r="C130" s="86">
        <f t="shared" si="2"/>
        <v>5</v>
      </c>
      <c r="D130" s="5"/>
      <c r="E130" s="5">
        <f t="shared" si="3"/>
        <v>0</v>
      </c>
      <c r="F130" s="5"/>
      <c r="G130" s="5"/>
      <c r="H130" s="5"/>
      <c r="I130" s="5"/>
      <c r="J130" s="88"/>
      <c r="K130" s="88"/>
      <c r="L130" s="88"/>
      <c r="M130" s="88"/>
      <c r="N130" s="88" t="e">
        <f>+L130/M130</f>
        <v>#DIV/0!</v>
      </c>
      <c r="O130" s="89" t="e">
        <f>L130/(I130-J130-K130)</f>
        <v>#DIV/0!</v>
      </c>
    </row>
    <row r="131" spans="1:15" x14ac:dyDescent="0.25">
      <c r="A131" t="s">
        <v>72</v>
      </c>
      <c r="B131" s="85">
        <v>46152</v>
      </c>
      <c r="C131" s="86">
        <f t="shared" ref="C131:C194" si="4">MONTH(B131)</f>
        <v>5</v>
      </c>
      <c r="D131" s="5"/>
      <c r="E131" s="5">
        <f t="shared" ref="E131:E194" si="5">+D131-D130</f>
        <v>0</v>
      </c>
      <c r="F131" s="5"/>
      <c r="G131" s="5"/>
      <c r="H131" s="5"/>
      <c r="I131" s="5"/>
      <c r="J131" s="88"/>
      <c r="K131" s="88"/>
      <c r="L131" s="88"/>
      <c r="M131" s="88"/>
      <c r="N131" s="88">
        <v>0</v>
      </c>
      <c r="O131" s="88">
        <v>0</v>
      </c>
    </row>
    <row r="132" spans="1:15" x14ac:dyDescent="0.25">
      <c r="A132" t="s">
        <v>73</v>
      </c>
      <c r="B132" s="85">
        <v>46153</v>
      </c>
      <c r="C132" s="86">
        <f t="shared" si="4"/>
        <v>5</v>
      </c>
      <c r="D132" s="5"/>
      <c r="E132" s="5">
        <f t="shared" si="5"/>
        <v>0</v>
      </c>
      <c r="F132" s="5"/>
      <c r="G132" s="5"/>
      <c r="H132" s="5"/>
      <c r="I132" s="5"/>
      <c r="J132" s="88"/>
      <c r="K132" s="88"/>
      <c r="L132" s="88"/>
      <c r="M132" s="88"/>
      <c r="N132" s="88">
        <v>0</v>
      </c>
      <c r="O132" s="88">
        <v>0</v>
      </c>
    </row>
    <row r="133" spans="1:15" x14ac:dyDescent="0.25">
      <c r="A133" t="s">
        <v>74</v>
      </c>
      <c r="B133" s="85">
        <v>46154</v>
      </c>
      <c r="C133" s="86">
        <f t="shared" si="4"/>
        <v>5</v>
      </c>
      <c r="D133" s="5"/>
      <c r="E133" s="5">
        <f t="shared" si="5"/>
        <v>0</v>
      </c>
      <c r="F133" s="5"/>
      <c r="G133" s="5"/>
      <c r="H133" s="5"/>
      <c r="I133" s="5"/>
      <c r="J133" s="88"/>
      <c r="K133" s="88"/>
      <c r="L133" s="88"/>
      <c r="M133" s="88"/>
      <c r="N133" s="88">
        <v>0</v>
      </c>
      <c r="O133" s="88">
        <v>0</v>
      </c>
    </row>
    <row r="134" spans="1:15" x14ac:dyDescent="0.25">
      <c r="A134" t="s">
        <v>68</v>
      </c>
      <c r="B134" s="85">
        <v>46155</v>
      </c>
      <c r="C134" s="86">
        <f t="shared" si="4"/>
        <v>5</v>
      </c>
      <c r="D134" s="5"/>
      <c r="E134" s="5">
        <f t="shared" si="5"/>
        <v>0</v>
      </c>
      <c r="F134" s="5"/>
      <c r="G134" s="5"/>
      <c r="H134" s="5"/>
      <c r="I134" s="5"/>
      <c r="J134" s="88"/>
      <c r="K134" s="88"/>
      <c r="L134" s="88"/>
      <c r="M134" s="88"/>
      <c r="N134" s="88" t="e">
        <f>+L134/M134</f>
        <v>#DIV/0!</v>
      </c>
      <c r="O134" s="89" t="e">
        <f>L134/(I134-J134-K134)</f>
        <v>#DIV/0!</v>
      </c>
    </row>
    <row r="135" spans="1:15" x14ac:dyDescent="0.25">
      <c r="A135" t="s">
        <v>69</v>
      </c>
      <c r="B135" s="85">
        <v>46156</v>
      </c>
      <c r="C135" s="86">
        <f t="shared" si="4"/>
        <v>5</v>
      </c>
      <c r="D135" s="5"/>
      <c r="E135" s="5">
        <f t="shared" si="5"/>
        <v>0</v>
      </c>
      <c r="F135" s="5"/>
      <c r="G135" s="5"/>
      <c r="H135" s="5"/>
      <c r="I135" s="5"/>
      <c r="J135" s="88"/>
      <c r="K135" s="88"/>
      <c r="L135" s="88"/>
      <c r="M135" s="88"/>
      <c r="N135" s="88">
        <v>0</v>
      </c>
      <c r="O135" s="88">
        <v>0</v>
      </c>
    </row>
    <row r="136" spans="1:15" x14ac:dyDescent="0.25">
      <c r="A136" t="s">
        <v>70</v>
      </c>
      <c r="B136" s="85">
        <v>46157</v>
      </c>
      <c r="C136" s="86">
        <f t="shared" si="4"/>
        <v>5</v>
      </c>
      <c r="D136" s="5"/>
      <c r="E136" s="5">
        <f t="shared" si="5"/>
        <v>0</v>
      </c>
      <c r="F136" s="5"/>
      <c r="G136" s="5"/>
      <c r="H136" s="5"/>
      <c r="I136" s="5"/>
      <c r="J136" s="88"/>
      <c r="K136" s="88"/>
      <c r="L136" s="88"/>
      <c r="M136" s="88"/>
      <c r="N136" s="88">
        <v>0</v>
      </c>
      <c r="O136" s="88">
        <v>0</v>
      </c>
    </row>
    <row r="137" spans="1:15" x14ac:dyDescent="0.25">
      <c r="A137" t="s">
        <v>71</v>
      </c>
      <c r="B137" s="85">
        <v>46158</v>
      </c>
      <c r="C137" s="86">
        <f t="shared" si="4"/>
        <v>5</v>
      </c>
      <c r="D137" s="5"/>
      <c r="E137" s="5">
        <f t="shared" si="5"/>
        <v>0</v>
      </c>
      <c r="F137" s="5"/>
      <c r="G137" s="5"/>
      <c r="H137" s="5"/>
      <c r="I137" s="5"/>
      <c r="J137" s="88"/>
      <c r="K137" s="88"/>
      <c r="L137" s="88"/>
      <c r="M137" s="88"/>
      <c r="N137" s="88">
        <v>0</v>
      </c>
      <c r="O137" s="88">
        <v>0</v>
      </c>
    </row>
    <row r="138" spans="1:15" x14ac:dyDescent="0.25">
      <c r="A138" t="s">
        <v>72</v>
      </c>
      <c r="B138" s="85">
        <v>46159</v>
      </c>
      <c r="C138" s="86">
        <f t="shared" si="4"/>
        <v>5</v>
      </c>
      <c r="D138" s="5"/>
      <c r="E138" s="5">
        <f t="shared" si="5"/>
        <v>0</v>
      </c>
      <c r="F138" s="5"/>
      <c r="G138" s="5"/>
      <c r="H138" s="5"/>
      <c r="I138" s="5"/>
      <c r="J138" s="88"/>
      <c r="K138" s="88"/>
      <c r="L138" s="88"/>
      <c r="M138" s="88"/>
      <c r="N138" s="88">
        <v>0</v>
      </c>
      <c r="O138" s="88">
        <v>0</v>
      </c>
    </row>
    <row r="139" spans="1:15" x14ac:dyDescent="0.25">
      <c r="A139" t="s">
        <v>73</v>
      </c>
      <c r="B139" s="85">
        <v>46160</v>
      </c>
      <c r="C139" s="86">
        <f t="shared" si="4"/>
        <v>5</v>
      </c>
      <c r="D139" s="5"/>
      <c r="E139" s="5">
        <f t="shared" si="5"/>
        <v>0</v>
      </c>
      <c r="F139" s="5"/>
      <c r="G139" s="5"/>
      <c r="H139" s="5"/>
      <c r="I139" s="5"/>
      <c r="J139" s="88"/>
      <c r="K139" s="88"/>
      <c r="L139" s="88"/>
      <c r="M139" s="88"/>
      <c r="N139" s="88">
        <v>0</v>
      </c>
      <c r="O139" s="88">
        <v>0</v>
      </c>
    </row>
    <row r="140" spans="1:15" x14ac:dyDescent="0.25">
      <c r="A140" t="s">
        <v>74</v>
      </c>
      <c r="B140" s="85">
        <v>46161</v>
      </c>
      <c r="C140" s="86">
        <f t="shared" si="4"/>
        <v>5</v>
      </c>
      <c r="D140" s="5"/>
      <c r="E140" s="5">
        <f t="shared" si="5"/>
        <v>0</v>
      </c>
      <c r="F140" s="5"/>
      <c r="G140" s="5"/>
      <c r="H140" s="5"/>
      <c r="I140" s="5"/>
      <c r="J140" s="88"/>
      <c r="K140" s="88"/>
      <c r="L140" s="88"/>
      <c r="M140" s="88"/>
      <c r="N140" s="88">
        <v>0</v>
      </c>
      <c r="O140" s="88">
        <v>0</v>
      </c>
    </row>
    <row r="141" spans="1:15" x14ac:dyDescent="0.25">
      <c r="A141" t="s">
        <v>68</v>
      </c>
      <c r="B141" s="85">
        <v>46162</v>
      </c>
      <c r="C141" s="86">
        <f t="shared" si="4"/>
        <v>5</v>
      </c>
      <c r="D141" s="5"/>
      <c r="E141" s="5">
        <f t="shared" si="5"/>
        <v>0</v>
      </c>
      <c r="F141" s="5"/>
      <c r="G141" s="5"/>
      <c r="H141" s="5"/>
      <c r="I141" s="5"/>
      <c r="J141" s="88"/>
      <c r="K141" s="88"/>
      <c r="L141" s="88"/>
      <c r="M141" s="88"/>
      <c r="N141" s="88" t="e">
        <f>+L141/M141</f>
        <v>#DIV/0!</v>
      </c>
      <c r="O141" s="89" t="e">
        <f>L141/(I141-J141-K141)</f>
        <v>#DIV/0!</v>
      </c>
    </row>
    <row r="142" spans="1:15" x14ac:dyDescent="0.25">
      <c r="A142" t="s">
        <v>69</v>
      </c>
      <c r="B142" s="85">
        <v>46163</v>
      </c>
      <c r="C142" s="86">
        <f t="shared" si="4"/>
        <v>5</v>
      </c>
      <c r="D142" s="5"/>
      <c r="E142" s="5">
        <f t="shared" si="5"/>
        <v>0</v>
      </c>
      <c r="F142" s="5"/>
      <c r="G142" s="5"/>
      <c r="H142" s="5"/>
      <c r="I142" s="5"/>
      <c r="J142" s="88"/>
      <c r="K142" s="88"/>
      <c r="L142" s="88"/>
      <c r="M142" s="88"/>
      <c r="N142" s="88">
        <v>0</v>
      </c>
      <c r="O142" s="88">
        <v>0</v>
      </c>
    </row>
    <row r="143" spans="1:15" x14ac:dyDescent="0.25">
      <c r="A143" t="s">
        <v>70</v>
      </c>
      <c r="B143" s="85">
        <v>46164</v>
      </c>
      <c r="C143" s="86">
        <f t="shared" si="4"/>
        <v>5</v>
      </c>
      <c r="D143" s="5"/>
      <c r="E143" s="5">
        <f t="shared" si="5"/>
        <v>0</v>
      </c>
      <c r="F143" s="5"/>
      <c r="G143" s="5"/>
      <c r="H143" s="5"/>
      <c r="I143" s="5"/>
      <c r="J143" s="88"/>
      <c r="K143" s="88"/>
      <c r="L143" s="88"/>
      <c r="M143" s="88"/>
      <c r="N143" s="88">
        <v>0</v>
      </c>
      <c r="O143" s="88">
        <v>0</v>
      </c>
    </row>
    <row r="144" spans="1:15" x14ac:dyDescent="0.25">
      <c r="A144" t="s">
        <v>71</v>
      </c>
      <c r="B144" s="85">
        <v>46165</v>
      </c>
      <c r="C144" s="86">
        <f t="shared" si="4"/>
        <v>5</v>
      </c>
      <c r="D144" s="5"/>
      <c r="E144" s="5">
        <f t="shared" si="5"/>
        <v>0</v>
      </c>
      <c r="F144" s="5"/>
      <c r="G144" s="5"/>
      <c r="H144" s="5"/>
      <c r="I144" s="5"/>
      <c r="J144" s="88"/>
      <c r="K144" s="88"/>
      <c r="L144" s="88"/>
      <c r="M144" s="88"/>
      <c r="N144" s="88">
        <v>0</v>
      </c>
      <c r="O144" s="88">
        <v>0</v>
      </c>
    </row>
    <row r="145" spans="1:15" x14ac:dyDescent="0.25">
      <c r="A145" t="s">
        <v>72</v>
      </c>
      <c r="B145" s="85">
        <v>46166</v>
      </c>
      <c r="C145" s="86">
        <f t="shared" si="4"/>
        <v>5</v>
      </c>
      <c r="D145" s="5"/>
      <c r="E145" s="5">
        <f t="shared" si="5"/>
        <v>0</v>
      </c>
      <c r="F145" s="5"/>
      <c r="G145" s="5"/>
      <c r="H145" s="5"/>
      <c r="I145" s="5"/>
      <c r="J145" s="88"/>
      <c r="K145" s="88"/>
      <c r="L145" s="88"/>
      <c r="M145" s="88"/>
      <c r="N145" s="88">
        <v>0</v>
      </c>
      <c r="O145" s="88">
        <v>0</v>
      </c>
    </row>
    <row r="146" spans="1:15" x14ac:dyDescent="0.25">
      <c r="A146" t="s">
        <v>73</v>
      </c>
      <c r="B146" s="85">
        <v>46167</v>
      </c>
      <c r="C146" s="86">
        <f t="shared" si="4"/>
        <v>5</v>
      </c>
      <c r="D146" s="5"/>
      <c r="E146" s="5">
        <f t="shared" si="5"/>
        <v>0</v>
      </c>
      <c r="F146" s="5"/>
      <c r="G146" s="5"/>
      <c r="H146" s="5"/>
      <c r="I146" s="5"/>
      <c r="J146" s="88"/>
      <c r="K146" s="88"/>
      <c r="L146" s="88"/>
      <c r="M146" s="88"/>
      <c r="N146" s="88">
        <v>0</v>
      </c>
      <c r="O146" s="88">
        <v>0</v>
      </c>
    </row>
    <row r="147" spans="1:15" x14ac:dyDescent="0.25">
      <c r="A147" t="s">
        <v>74</v>
      </c>
      <c r="B147" s="85">
        <v>46168</v>
      </c>
      <c r="C147" s="86">
        <f t="shared" si="4"/>
        <v>5</v>
      </c>
      <c r="D147" s="5"/>
      <c r="E147" s="5">
        <f t="shared" si="5"/>
        <v>0</v>
      </c>
      <c r="F147" s="5"/>
      <c r="G147" s="5"/>
      <c r="H147" s="5"/>
      <c r="I147" s="5"/>
      <c r="J147" s="88"/>
      <c r="K147" s="88"/>
      <c r="L147" s="88"/>
      <c r="M147" s="88"/>
      <c r="N147" s="88">
        <v>0</v>
      </c>
      <c r="O147" s="88">
        <v>0</v>
      </c>
    </row>
    <row r="148" spans="1:15" x14ac:dyDescent="0.25">
      <c r="A148" t="s">
        <v>68</v>
      </c>
      <c r="B148" s="85">
        <v>46169</v>
      </c>
      <c r="C148" s="86">
        <f t="shared" si="4"/>
        <v>5</v>
      </c>
      <c r="D148" s="5"/>
      <c r="E148" s="5">
        <f t="shared" si="5"/>
        <v>0</v>
      </c>
      <c r="F148" s="5"/>
      <c r="G148" s="5"/>
      <c r="H148" s="5"/>
      <c r="I148" s="5"/>
      <c r="J148" s="88"/>
      <c r="K148" s="88"/>
      <c r="L148" s="88"/>
      <c r="M148" s="88"/>
      <c r="N148" s="88">
        <v>0</v>
      </c>
      <c r="O148" s="88">
        <v>0</v>
      </c>
    </row>
    <row r="149" spans="1:15" x14ac:dyDescent="0.25">
      <c r="A149" t="s">
        <v>69</v>
      </c>
      <c r="B149" s="85">
        <v>46170</v>
      </c>
      <c r="C149" s="86">
        <f t="shared" si="4"/>
        <v>5</v>
      </c>
      <c r="D149" s="5"/>
      <c r="E149" s="5">
        <f t="shared" si="5"/>
        <v>0</v>
      </c>
      <c r="F149" s="5"/>
      <c r="G149" s="5"/>
      <c r="H149" s="5"/>
      <c r="I149" s="5"/>
      <c r="J149" s="88"/>
      <c r="K149" s="88"/>
      <c r="L149" s="88"/>
      <c r="M149" s="88"/>
      <c r="N149" s="88" t="e">
        <f>+L149/M149</f>
        <v>#DIV/0!</v>
      </c>
      <c r="O149" s="89" t="e">
        <f>L149/(I149-J149-K149)</f>
        <v>#DIV/0!</v>
      </c>
    </row>
    <row r="150" spans="1:15" x14ac:dyDescent="0.25">
      <c r="A150" t="s">
        <v>70</v>
      </c>
      <c r="B150" s="85">
        <v>46171</v>
      </c>
      <c r="C150" s="86">
        <f t="shared" si="4"/>
        <v>5</v>
      </c>
      <c r="D150" s="5"/>
      <c r="E150" s="5">
        <f t="shared" si="5"/>
        <v>0</v>
      </c>
      <c r="F150" s="5"/>
      <c r="G150" s="5"/>
      <c r="H150" s="5"/>
      <c r="I150" s="5"/>
      <c r="J150" s="88"/>
      <c r="K150" s="88"/>
      <c r="L150" s="88"/>
      <c r="M150" s="88"/>
      <c r="N150" s="88">
        <v>0</v>
      </c>
      <c r="O150" s="88">
        <v>0</v>
      </c>
    </row>
    <row r="151" spans="1:15" x14ac:dyDescent="0.25">
      <c r="A151" t="s">
        <v>71</v>
      </c>
      <c r="B151" s="85">
        <v>46172</v>
      </c>
      <c r="C151" s="86">
        <f t="shared" si="4"/>
        <v>5</v>
      </c>
      <c r="D151" s="5"/>
      <c r="E151" s="5">
        <f t="shared" si="5"/>
        <v>0</v>
      </c>
      <c r="F151" s="5"/>
      <c r="G151" s="5"/>
      <c r="H151" s="5"/>
      <c r="I151" s="5"/>
      <c r="J151" s="88"/>
      <c r="K151" s="88"/>
      <c r="L151" s="88"/>
      <c r="M151" s="88"/>
      <c r="N151" s="88">
        <v>0</v>
      </c>
      <c r="O151" s="88">
        <v>0</v>
      </c>
    </row>
    <row r="152" spans="1:15" x14ac:dyDescent="0.25">
      <c r="A152" t="s">
        <v>72</v>
      </c>
      <c r="B152" s="85">
        <v>46173</v>
      </c>
      <c r="C152" s="86">
        <f t="shared" si="4"/>
        <v>5</v>
      </c>
      <c r="D152" s="5"/>
      <c r="E152" s="5">
        <f t="shared" si="5"/>
        <v>0</v>
      </c>
      <c r="F152" s="5"/>
      <c r="G152" s="5"/>
      <c r="H152" s="5"/>
      <c r="I152" s="5"/>
      <c r="J152" s="88"/>
      <c r="K152" s="88"/>
      <c r="L152" s="88"/>
      <c r="M152" s="88"/>
      <c r="N152" s="88">
        <v>0</v>
      </c>
      <c r="O152" s="88">
        <v>0</v>
      </c>
    </row>
    <row r="153" spans="1:15" x14ac:dyDescent="0.25">
      <c r="A153" t="s">
        <v>73</v>
      </c>
      <c r="B153" s="85">
        <v>46174</v>
      </c>
      <c r="C153" s="86">
        <f t="shared" si="4"/>
        <v>6</v>
      </c>
      <c r="D153" s="5"/>
      <c r="E153" s="5">
        <f t="shared" si="5"/>
        <v>0</v>
      </c>
      <c r="F153" s="5"/>
      <c r="G153" s="5"/>
      <c r="H153" s="5"/>
      <c r="I153" s="5"/>
      <c r="J153" s="88"/>
      <c r="K153" s="88"/>
      <c r="L153" s="88"/>
      <c r="M153" s="88"/>
      <c r="N153" s="88">
        <v>0</v>
      </c>
      <c r="O153" s="88">
        <v>0</v>
      </c>
    </row>
    <row r="154" spans="1:15" x14ac:dyDescent="0.25">
      <c r="A154" t="s">
        <v>74</v>
      </c>
      <c r="B154" s="85">
        <v>46175</v>
      </c>
      <c r="C154" s="86">
        <f t="shared" si="4"/>
        <v>6</v>
      </c>
      <c r="D154" s="5"/>
      <c r="E154" s="5">
        <f t="shared" si="5"/>
        <v>0</v>
      </c>
      <c r="F154" s="5"/>
      <c r="G154" s="5"/>
      <c r="H154" s="5"/>
      <c r="I154" s="5"/>
      <c r="J154" s="88"/>
      <c r="K154" s="88"/>
      <c r="L154" s="88"/>
      <c r="M154" s="88"/>
      <c r="N154" s="88">
        <v>0</v>
      </c>
      <c r="O154" s="88">
        <v>0</v>
      </c>
    </row>
    <row r="155" spans="1:15" x14ac:dyDescent="0.25">
      <c r="A155" t="s">
        <v>68</v>
      </c>
      <c r="B155" s="85">
        <v>46176</v>
      </c>
      <c r="C155" s="86">
        <f t="shared" si="4"/>
        <v>6</v>
      </c>
      <c r="D155" s="5"/>
      <c r="E155" s="5">
        <f t="shared" si="5"/>
        <v>0</v>
      </c>
      <c r="F155" s="5"/>
      <c r="G155" s="5"/>
      <c r="H155" s="5"/>
      <c r="I155" s="5"/>
      <c r="J155" s="88"/>
      <c r="K155" s="88"/>
      <c r="L155" s="88"/>
      <c r="M155" s="88"/>
      <c r="N155" s="88">
        <v>0</v>
      </c>
      <c r="O155" s="88">
        <v>0</v>
      </c>
    </row>
    <row r="156" spans="1:15" x14ac:dyDescent="0.25">
      <c r="A156" t="s">
        <v>69</v>
      </c>
      <c r="B156" s="85">
        <v>46177</v>
      </c>
      <c r="C156" s="86">
        <f t="shared" si="4"/>
        <v>6</v>
      </c>
      <c r="D156" s="5"/>
      <c r="E156" s="5">
        <f t="shared" si="5"/>
        <v>0</v>
      </c>
      <c r="F156" s="5"/>
      <c r="G156" s="5"/>
      <c r="H156" s="5"/>
      <c r="I156" s="5"/>
      <c r="J156" s="88"/>
      <c r="K156" s="88"/>
      <c r="L156" s="88"/>
      <c r="M156" s="88"/>
      <c r="N156" s="88">
        <v>0</v>
      </c>
      <c r="O156" s="88">
        <v>0</v>
      </c>
    </row>
    <row r="157" spans="1:15" x14ac:dyDescent="0.25">
      <c r="A157" t="s">
        <v>70</v>
      </c>
      <c r="B157" s="85">
        <v>46178</v>
      </c>
      <c r="C157" s="86">
        <f t="shared" si="4"/>
        <v>6</v>
      </c>
      <c r="D157" s="5"/>
      <c r="E157" s="5">
        <f t="shared" si="5"/>
        <v>0</v>
      </c>
      <c r="F157" s="5"/>
      <c r="G157" s="5"/>
      <c r="H157" s="5"/>
      <c r="I157" s="5"/>
      <c r="J157" s="88"/>
      <c r="K157" s="88"/>
      <c r="L157" s="88"/>
      <c r="M157" s="88"/>
      <c r="N157" s="88" t="e">
        <f>+L157/M157</f>
        <v>#DIV/0!</v>
      </c>
      <c r="O157" s="89" t="e">
        <f>L157/(I157-J157-K157)</f>
        <v>#DIV/0!</v>
      </c>
    </row>
    <row r="158" spans="1:15" x14ac:dyDescent="0.25">
      <c r="A158" t="s">
        <v>71</v>
      </c>
      <c r="B158" s="85">
        <v>46179</v>
      </c>
      <c r="C158" s="86">
        <f t="shared" si="4"/>
        <v>6</v>
      </c>
      <c r="D158" s="5"/>
      <c r="E158" s="5">
        <f t="shared" si="5"/>
        <v>0</v>
      </c>
      <c r="F158" s="5"/>
      <c r="G158" s="5"/>
      <c r="H158" s="5"/>
      <c r="I158" s="5"/>
      <c r="J158" s="88"/>
      <c r="K158" s="88"/>
      <c r="L158" s="88"/>
      <c r="M158" s="88"/>
      <c r="N158" s="88">
        <v>0</v>
      </c>
      <c r="O158" s="88">
        <v>0</v>
      </c>
    </row>
    <row r="159" spans="1:15" x14ac:dyDescent="0.25">
      <c r="A159" t="s">
        <v>72</v>
      </c>
      <c r="B159" s="85">
        <v>46180</v>
      </c>
      <c r="C159" s="86">
        <f t="shared" si="4"/>
        <v>6</v>
      </c>
      <c r="D159" s="5"/>
      <c r="E159" s="5">
        <f t="shared" si="5"/>
        <v>0</v>
      </c>
      <c r="F159" s="5"/>
      <c r="G159" s="5"/>
      <c r="H159" s="5"/>
      <c r="I159" s="5"/>
      <c r="J159" s="88"/>
      <c r="K159" s="88"/>
      <c r="L159" s="88"/>
      <c r="M159" s="88"/>
      <c r="N159" s="88">
        <v>0</v>
      </c>
      <c r="O159" s="88">
        <v>0</v>
      </c>
    </row>
    <row r="160" spans="1:15" x14ac:dyDescent="0.25">
      <c r="A160" t="s">
        <v>73</v>
      </c>
      <c r="B160" s="85">
        <v>46181</v>
      </c>
      <c r="C160" s="86">
        <f t="shared" si="4"/>
        <v>6</v>
      </c>
      <c r="D160" s="5"/>
      <c r="E160" s="5">
        <f t="shared" si="5"/>
        <v>0</v>
      </c>
      <c r="F160" s="5"/>
      <c r="G160" s="5"/>
      <c r="H160" s="5"/>
      <c r="I160" s="5"/>
      <c r="J160" s="88"/>
      <c r="K160" s="88"/>
      <c r="L160" s="88"/>
      <c r="M160" s="88"/>
      <c r="N160" s="88">
        <v>0</v>
      </c>
      <c r="O160" s="88">
        <v>0</v>
      </c>
    </row>
    <row r="161" spans="1:15" x14ac:dyDescent="0.25">
      <c r="A161" t="s">
        <v>74</v>
      </c>
      <c r="B161" s="85">
        <v>46182</v>
      </c>
      <c r="C161" s="86">
        <f t="shared" si="4"/>
        <v>6</v>
      </c>
      <c r="D161" s="5"/>
      <c r="E161" s="5">
        <f t="shared" si="5"/>
        <v>0</v>
      </c>
      <c r="F161" s="5"/>
      <c r="G161" s="5"/>
      <c r="H161" s="5"/>
      <c r="I161" s="5"/>
      <c r="J161" s="88"/>
      <c r="K161" s="88"/>
      <c r="L161" s="88"/>
      <c r="M161" s="88"/>
      <c r="N161" s="88">
        <v>0</v>
      </c>
      <c r="O161" s="88">
        <v>0</v>
      </c>
    </row>
    <row r="162" spans="1:15" x14ac:dyDescent="0.25">
      <c r="A162" t="s">
        <v>68</v>
      </c>
      <c r="B162" s="85">
        <v>46183</v>
      </c>
      <c r="C162" s="86">
        <f t="shared" si="4"/>
        <v>6</v>
      </c>
      <c r="D162" s="5"/>
      <c r="E162" s="5">
        <f t="shared" si="5"/>
        <v>0</v>
      </c>
      <c r="F162" s="5"/>
      <c r="G162" s="5"/>
      <c r="H162" s="5"/>
      <c r="I162" s="5"/>
      <c r="J162" s="88"/>
      <c r="K162" s="88"/>
      <c r="L162" s="88"/>
      <c r="M162" s="88"/>
      <c r="N162" s="88" t="e">
        <f>+L162/M162</f>
        <v>#DIV/0!</v>
      </c>
      <c r="O162" s="89" t="e">
        <f>L162/(I162-J162-K162)</f>
        <v>#DIV/0!</v>
      </c>
    </row>
    <row r="163" spans="1:15" x14ac:dyDescent="0.25">
      <c r="A163" t="s">
        <v>69</v>
      </c>
      <c r="B163" s="85">
        <v>46184</v>
      </c>
      <c r="C163" s="86">
        <f t="shared" si="4"/>
        <v>6</v>
      </c>
      <c r="D163" s="5"/>
      <c r="E163" s="5">
        <f t="shared" si="5"/>
        <v>0</v>
      </c>
      <c r="F163" s="5"/>
      <c r="G163" s="5"/>
      <c r="H163" s="5"/>
      <c r="I163" s="5"/>
      <c r="J163" s="88"/>
      <c r="K163" s="88"/>
      <c r="L163" s="88"/>
      <c r="M163" s="88"/>
      <c r="N163" s="88">
        <v>0</v>
      </c>
      <c r="O163" s="88">
        <v>0</v>
      </c>
    </row>
    <row r="164" spans="1:15" x14ac:dyDescent="0.25">
      <c r="A164" t="s">
        <v>70</v>
      </c>
      <c r="B164" s="85">
        <v>46185</v>
      </c>
      <c r="C164" s="86">
        <f t="shared" si="4"/>
        <v>6</v>
      </c>
      <c r="D164" s="5"/>
      <c r="E164" s="5">
        <f t="shared" si="5"/>
        <v>0</v>
      </c>
      <c r="F164" s="5"/>
      <c r="G164" s="5"/>
      <c r="H164" s="5"/>
      <c r="I164" s="5"/>
      <c r="J164" s="88"/>
      <c r="K164" s="88"/>
      <c r="L164" s="88"/>
      <c r="M164" s="88"/>
      <c r="N164" s="88" t="e">
        <f>+L164/M164</f>
        <v>#DIV/0!</v>
      </c>
      <c r="O164" s="89" t="e">
        <f>L164/(I164-J164-K164)</f>
        <v>#DIV/0!</v>
      </c>
    </row>
    <row r="165" spans="1:15" x14ac:dyDescent="0.25">
      <c r="A165" t="s">
        <v>71</v>
      </c>
      <c r="B165" s="85">
        <v>46186</v>
      </c>
      <c r="C165" s="86">
        <f t="shared" si="4"/>
        <v>6</v>
      </c>
      <c r="D165" s="5"/>
      <c r="E165" s="5">
        <f t="shared" si="5"/>
        <v>0</v>
      </c>
      <c r="F165" s="5"/>
      <c r="G165" s="5"/>
      <c r="H165" s="5"/>
      <c r="I165" s="5"/>
      <c r="J165" s="88"/>
      <c r="K165" s="88"/>
      <c r="L165" s="88"/>
      <c r="M165" s="88"/>
      <c r="N165" s="88">
        <v>0</v>
      </c>
      <c r="O165" s="88">
        <v>0</v>
      </c>
    </row>
    <row r="166" spans="1:15" x14ac:dyDescent="0.25">
      <c r="A166" t="s">
        <v>72</v>
      </c>
      <c r="B166" s="85">
        <v>46187</v>
      </c>
      <c r="C166" s="86">
        <f t="shared" si="4"/>
        <v>6</v>
      </c>
      <c r="D166" s="5"/>
      <c r="E166" s="5">
        <f t="shared" si="5"/>
        <v>0</v>
      </c>
      <c r="F166" s="5"/>
      <c r="G166" s="5"/>
      <c r="H166" s="5"/>
      <c r="I166" s="5"/>
      <c r="J166" s="88"/>
      <c r="K166" s="88"/>
      <c r="L166" s="88"/>
      <c r="M166" s="88"/>
      <c r="N166" s="88">
        <v>0</v>
      </c>
      <c r="O166" s="88">
        <v>0</v>
      </c>
    </row>
    <row r="167" spans="1:15" x14ac:dyDescent="0.25">
      <c r="A167" t="s">
        <v>73</v>
      </c>
      <c r="B167" s="85">
        <v>46188</v>
      </c>
      <c r="C167" s="86">
        <f t="shared" si="4"/>
        <v>6</v>
      </c>
      <c r="D167" s="5"/>
      <c r="E167" s="5">
        <f t="shared" si="5"/>
        <v>0</v>
      </c>
      <c r="F167" s="5"/>
      <c r="G167" s="5"/>
      <c r="H167" s="5"/>
      <c r="I167" s="5"/>
      <c r="J167" s="88"/>
      <c r="K167" s="88"/>
      <c r="L167" s="88"/>
      <c r="M167" s="88"/>
      <c r="N167" s="88">
        <v>0</v>
      </c>
      <c r="O167" s="88">
        <v>0</v>
      </c>
    </row>
    <row r="168" spans="1:15" x14ac:dyDescent="0.25">
      <c r="A168" t="s">
        <v>74</v>
      </c>
      <c r="B168" s="85">
        <v>46189</v>
      </c>
      <c r="C168" s="86">
        <f t="shared" si="4"/>
        <v>6</v>
      </c>
      <c r="D168" s="5"/>
      <c r="E168" s="5">
        <f t="shared" si="5"/>
        <v>0</v>
      </c>
      <c r="F168" s="5"/>
      <c r="G168" s="5"/>
      <c r="H168" s="5"/>
      <c r="I168" s="5"/>
      <c r="J168" s="88"/>
      <c r="K168" s="88"/>
      <c r="L168" s="88"/>
      <c r="M168" s="88"/>
      <c r="N168" s="88">
        <v>0</v>
      </c>
      <c r="O168" s="88">
        <v>0</v>
      </c>
    </row>
    <row r="169" spans="1:15" x14ac:dyDescent="0.25">
      <c r="A169" t="s">
        <v>68</v>
      </c>
      <c r="B169" s="85">
        <v>46190</v>
      </c>
      <c r="C169" s="86">
        <f t="shared" si="4"/>
        <v>6</v>
      </c>
      <c r="D169" s="5"/>
      <c r="E169" s="5">
        <f t="shared" si="5"/>
        <v>0</v>
      </c>
      <c r="F169" s="5"/>
      <c r="G169" s="5"/>
      <c r="H169" s="5"/>
      <c r="I169" s="5"/>
      <c r="J169" s="88"/>
      <c r="K169" s="88"/>
      <c r="L169" s="88"/>
      <c r="M169" s="88"/>
      <c r="N169" s="88">
        <v>0</v>
      </c>
      <c r="O169" s="88">
        <v>0</v>
      </c>
    </row>
    <row r="170" spans="1:15" x14ac:dyDescent="0.25">
      <c r="A170" t="s">
        <v>69</v>
      </c>
      <c r="B170" s="85">
        <v>46191</v>
      </c>
      <c r="C170" s="86">
        <f t="shared" si="4"/>
        <v>6</v>
      </c>
      <c r="D170" s="5"/>
      <c r="E170" s="5">
        <f t="shared" si="5"/>
        <v>0</v>
      </c>
      <c r="F170" s="5"/>
      <c r="G170" s="5"/>
      <c r="H170" s="5"/>
      <c r="I170" s="5"/>
      <c r="J170" s="88"/>
      <c r="K170" s="88"/>
      <c r="L170" s="88"/>
      <c r="M170" s="88"/>
      <c r="N170" s="88" t="e">
        <f>+L170/M170</f>
        <v>#DIV/0!</v>
      </c>
      <c r="O170" s="89" t="e">
        <f>L170/(I170-J170-K170)</f>
        <v>#DIV/0!</v>
      </c>
    </row>
    <row r="171" spans="1:15" x14ac:dyDescent="0.25">
      <c r="A171" t="s">
        <v>70</v>
      </c>
      <c r="B171" s="85">
        <v>46192</v>
      </c>
      <c r="C171" s="86">
        <f t="shared" si="4"/>
        <v>6</v>
      </c>
      <c r="D171" s="5"/>
      <c r="E171" s="5">
        <f t="shared" si="5"/>
        <v>0</v>
      </c>
      <c r="F171" s="5"/>
      <c r="G171" s="5"/>
      <c r="H171" s="5"/>
      <c r="I171" s="5"/>
      <c r="J171" s="88"/>
      <c r="K171" s="88"/>
      <c r="L171" s="88"/>
      <c r="M171" s="88"/>
      <c r="N171" s="88">
        <v>0</v>
      </c>
      <c r="O171" s="88">
        <v>0</v>
      </c>
    </row>
    <row r="172" spans="1:15" x14ac:dyDescent="0.25">
      <c r="A172" t="s">
        <v>71</v>
      </c>
      <c r="B172" s="85">
        <v>46193</v>
      </c>
      <c r="C172" s="86">
        <f t="shared" si="4"/>
        <v>6</v>
      </c>
      <c r="D172" s="5"/>
      <c r="E172" s="5">
        <f t="shared" si="5"/>
        <v>0</v>
      </c>
      <c r="F172" s="5"/>
      <c r="G172" s="5"/>
      <c r="H172" s="5"/>
      <c r="I172" s="5"/>
      <c r="J172" s="88"/>
      <c r="K172" s="88"/>
      <c r="L172" s="88"/>
      <c r="M172" s="88"/>
      <c r="N172" s="88">
        <v>0</v>
      </c>
      <c r="O172" s="88">
        <v>0</v>
      </c>
    </row>
    <row r="173" spans="1:15" x14ac:dyDescent="0.25">
      <c r="A173" t="s">
        <v>72</v>
      </c>
      <c r="B173" s="85">
        <v>46194</v>
      </c>
      <c r="C173" s="86">
        <f t="shared" si="4"/>
        <v>6</v>
      </c>
      <c r="D173" s="5"/>
      <c r="E173" s="5">
        <f t="shared" si="5"/>
        <v>0</v>
      </c>
      <c r="F173" s="5"/>
      <c r="G173" s="5"/>
      <c r="H173" s="5"/>
      <c r="I173" s="5"/>
      <c r="J173" s="88"/>
      <c r="K173" s="88"/>
      <c r="L173" s="88"/>
      <c r="M173" s="88"/>
      <c r="N173" s="88">
        <v>0</v>
      </c>
      <c r="O173" s="88">
        <v>0</v>
      </c>
    </row>
    <row r="174" spans="1:15" x14ac:dyDescent="0.25">
      <c r="A174" t="s">
        <v>73</v>
      </c>
      <c r="B174" s="85">
        <v>46195</v>
      </c>
      <c r="C174" s="86">
        <f t="shared" si="4"/>
        <v>6</v>
      </c>
      <c r="D174" s="5"/>
      <c r="E174" s="5">
        <f t="shared" si="5"/>
        <v>0</v>
      </c>
      <c r="F174" s="5"/>
      <c r="G174" s="5"/>
      <c r="H174" s="5"/>
      <c r="I174" s="5"/>
      <c r="J174" s="88"/>
      <c r="K174" s="88"/>
      <c r="L174" s="88"/>
      <c r="M174" s="88"/>
      <c r="N174" s="88">
        <v>0</v>
      </c>
      <c r="O174" s="88">
        <v>0</v>
      </c>
    </row>
    <row r="175" spans="1:15" x14ac:dyDescent="0.25">
      <c r="A175" t="s">
        <v>74</v>
      </c>
      <c r="B175" s="85">
        <v>46196</v>
      </c>
      <c r="C175" s="86">
        <f t="shared" si="4"/>
        <v>6</v>
      </c>
      <c r="D175" s="5"/>
      <c r="E175" s="5">
        <f t="shared" si="5"/>
        <v>0</v>
      </c>
      <c r="F175" s="5"/>
      <c r="G175" s="5"/>
      <c r="H175" s="5"/>
      <c r="I175" s="5"/>
      <c r="J175" s="88"/>
      <c r="K175" s="88"/>
      <c r="L175" s="88"/>
      <c r="M175" s="88"/>
      <c r="N175" s="88">
        <v>0</v>
      </c>
      <c r="O175" s="88">
        <v>0</v>
      </c>
    </row>
    <row r="176" spans="1:15" x14ac:dyDescent="0.25">
      <c r="A176" t="s">
        <v>68</v>
      </c>
      <c r="B176" s="85">
        <v>46197</v>
      </c>
      <c r="C176" s="86">
        <f t="shared" si="4"/>
        <v>6</v>
      </c>
      <c r="D176" s="5"/>
      <c r="E176" s="5">
        <f t="shared" si="5"/>
        <v>0</v>
      </c>
      <c r="F176" s="5"/>
      <c r="G176" s="5"/>
      <c r="H176" s="5"/>
      <c r="I176" s="5"/>
      <c r="J176" s="88"/>
      <c r="K176" s="88"/>
      <c r="L176" s="88"/>
      <c r="M176" s="88"/>
      <c r="N176" s="88">
        <v>0</v>
      </c>
      <c r="O176" s="88">
        <v>0</v>
      </c>
    </row>
    <row r="177" spans="1:15" x14ac:dyDescent="0.25">
      <c r="A177" t="s">
        <v>69</v>
      </c>
      <c r="B177" s="85">
        <v>46198</v>
      </c>
      <c r="C177" s="86">
        <f t="shared" si="4"/>
        <v>6</v>
      </c>
      <c r="D177" s="5"/>
      <c r="E177" s="5">
        <f t="shared" si="5"/>
        <v>0</v>
      </c>
      <c r="F177" s="5"/>
      <c r="G177" s="5"/>
      <c r="H177" s="5"/>
      <c r="I177" s="5"/>
      <c r="J177" s="88"/>
      <c r="K177" s="88"/>
      <c r="L177" s="88"/>
      <c r="M177" s="88"/>
      <c r="N177" s="88">
        <v>0</v>
      </c>
      <c r="O177" s="88">
        <v>0</v>
      </c>
    </row>
    <row r="178" spans="1:15" x14ac:dyDescent="0.25">
      <c r="A178" t="s">
        <v>70</v>
      </c>
      <c r="B178" s="85">
        <v>46199</v>
      </c>
      <c r="C178" s="86">
        <f t="shared" si="4"/>
        <v>6</v>
      </c>
      <c r="D178" s="5"/>
      <c r="E178" s="5">
        <f t="shared" si="5"/>
        <v>0</v>
      </c>
      <c r="F178" s="5"/>
      <c r="G178" s="5"/>
      <c r="H178" s="5"/>
      <c r="I178" s="5"/>
      <c r="J178" s="88"/>
      <c r="K178" s="88"/>
      <c r="L178" s="88"/>
      <c r="M178" s="88"/>
      <c r="N178" s="88">
        <v>0</v>
      </c>
      <c r="O178" s="88">
        <v>0</v>
      </c>
    </row>
    <row r="179" spans="1:15" x14ac:dyDescent="0.25">
      <c r="A179" t="s">
        <v>71</v>
      </c>
      <c r="B179" s="85">
        <v>46200</v>
      </c>
      <c r="C179" s="86">
        <f t="shared" si="4"/>
        <v>6</v>
      </c>
      <c r="D179" s="5"/>
      <c r="E179" s="5">
        <f t="shared" si="5"/>
        <v>0</v>
      </c>
      <c r="F179" s="5"/>
      <c r="G179" s="5"/>
      <c r="H179" s="5"/>
      <c r="I179" s="5"/>
      <c r="J179" s="88"/>
      <c r="K179" s="88"/>
      <c r="L179" s="88"/>
      <c r="M179" s="88"/>
      <c r="N179" s="88">
        <v>0</v>
      </c>
      <c r="O179" s="88">
        <v>0</v>
      </c>
    </row>
    <row r="180" spans="1:15" x14ac:dyDescent="0.25">
      <c r="A180" t="s">
        <v>72</v>
      </c>
      <c r="B180" s="85">
        <v>46201</v>
      </c>
      <c r="C180" s="86">
        <f t="shared" si="4"/>
        <v>6</v>
      </c>
      <c r="D180" s="5"/>
      <c r="E180" s="5">
        <f t="shared" si="5"/>
        <v>0</v>
      </c>
      <c r="F180" s="5"/>
      <c r="G180" s="5"/>
      <c r="H180" s="5"/>
      <c r="I180" s="5"/>
      <c r="J180" s="88"/>
      <c r="K180" s="88"/>
      <c r="L180" s="88"/>
      <c r="M180" s="88"/>
      <c r="N180" s="88">
        <v>0</v>
      </c>
      <c r="O180" s="88">
        <v>0</v>
      </c>
    </row>
    <row r="181" spans="1:15" x14ac:dyDescent="0.25">
      <c r="A181" t="s">
        <v>73</v>
      </c>
      <c r="B181" s="85">
        <v>46202</v>
      </c>
      <c r="C181" s="86">
        <f t="shared" si="4"/>
        <v>6</v>
      </c>
      <c r="D181" s="5"/>
      <c r="E181" s="5">
        <f t="shared" si="5"/>
        <v>0</v>
      </c>
      <c r="F181" s="5"/>
      <c r="G181" s="5"/>
      <c r="H181" s="5"/>
      <c r="I181" s="5"/>
      <c r="J181" s="88"/>
      <c r="K181" s="88"/>
      <c r="L181" s="88"/>
      <c r="M181" s="88"/>
      <c r="N181" s="88">
        <v>0</v>
      </c>
      <c r="O181" s="88">
        <v>0</v>
      </c>
    </row>
    <row r="182" spans="1:15" x14ac:dyDescent="0.25">
      <c r="A182" t="s">
        <v>74</v>
      </c>
      <c r="B182" s="85">
        <v>46203</v>
      </c>
      <c r="C182" s="86">
        <f t="shared" si="4"/>
        <v>6</v>
      </c>
      <c r="D182" s="5"/>
      <c r="E182" s="5">
        <f t="shared" si="5"/>
        <v>0</v>
      </c>
      <c r="F182" s="5"/>
      <c r="G182" s="5"/>
      <c r="H182" s="5"/>
      <c r="I182" s="5"/>
      <c r="J182" s="88"/>
      <c r="K182" s="88"/>
      <c r="L182" s="88"/>
      <c r="M182" s="88"/>
      <c r="N182" s="88">
        <v>0</v>
      </c>
      <c r="O182" s="88">
        <v>0</v>
      </c>
    </row>
    <row r="183" spans="1:15" x14ac:dyDescent="0.25">
      <c r="A183" t="s">
        <v>68</v>
      </c>
      <c r="B183" s="85">
        <v>46204</v>
      </c>
      <c r="C183" s="86">
        <f t="shared" si="4"/>
        <v>7</v>
      </c>
      <c r="D183" s="5"/>
      <c r="E183" s="5">
        <f t="shared" si="5"/>
        <v>0</v>
      </c>
      <c r="F183" s="5"/>
      <c r="G183" s="5"/>
      <c r="H183" s="5"/>
      <c r="I183" s="5"/>
      <c r="J183" s="88"/>
      <c r="K183" s="88"/>
      <c r="L183" s="88"/>
      <c r="M183" s="88"/>
      <c r="N183" s="88">
        <v>0</v>
      </c>
      <c r="O183" s="88">
        <v>0</v>
      </c>
    </row>
    <row r="184" spans="1:15" x14ac:dyDescent="0.25">
      <c r="A184" t="s">
        <v>69</v>
      </c>
      <c r="B184" s="85">
        <v>46205</v>
      </c>
      <c r="C184" s="86">
        <f t="shared" si="4"/>
        <v>7</v>
      </c>
      <c r="D184" s="5"/>
      <c r="E184" s="5">
        <f t="shared" si="5"/>
        <v>0</v>
      </c>
      <c r="F184" s="5"/>
      <c r="G184" s="5"/>
      <c r="H184" s="5"/>
      <c r="I184" s="5"/>
      <c r="J184" s="88"/>
      <c r="K184" s="88"/>
      <c r="L184" s="88"/>
      <c r="M184" s="88"/>
      <c r="N184" s="88">
        <v>0</v>
      </c>
      <c r="O184" s="88">
        <v>0</v>
      </c>
    </row>
    <row r="185" spans="1:15" x14ac:dyDescent="0.25">
      <c r="A185" t="s">
        <v>70</v>
      </c>
      <c r="B185" s="85">
        <v>46206</v>
      </c>
      <c r="C185" s="86">
        <f t="shared" si="4"/>
        <v>7</v>
      </c>
      <c r="D185" s="5"/>
      <c r="E185" s="5">
        <f t="shared" si="5"/>
        <v>0</v>
      </c>
      <c r="F185" s="5"/>
      <c r="G185" s="5"/>
      <c r="H185" s="5"/>
      <c r="I185" s="5"/>
      <c r="J185" s="88"/>
      <c r="K185" s="88"/>
      <c r="L185" s="88"/>
      <c r="M185" s="88"/>
      <c r="N185" s="88">
        <v>0</v>
      </c>
      <c r="O185" s="88">
        <v>0</v>
      </c>
    </row>
    <row r="186" spans="1:15" x14ac:dyDescent="0.25">
      <c r="A186" t="s">
        <v>71</v>
      </c>
      <c r="B186" s="85">
        <v>46207</v>
      </c>
      <c r="C186" s="86">
        <f t="shared" si="4"/>
        <v>7</v>
      </c>
      <c r="D186" s="5"/>
      <c r="E186" s="5">
        <f t="shared" si="5"/>
        <v>0</v>
      </c>
      <c r="F186" s="5"/>
      <c r="G186" s="5"/>
      <c r="H186" s="5"/>
      <c r="I186" s="5"/>
      <c r="J186" s="88"/>
      <c r="K186" s="88"/>
      <c r="L186" s="88"/>
      <c r="M186" s="88"/>
      <c r="N186" s="88">
        <v>0</v>
      </c>
      <c r="O186" s="88">
        <v>0</v>
      </c>
    </row>
    <row r="187" spans="1:15" x14ac:dyDescent="0.25">
      <c r="A187" t="s">
        <v>72</v>
      </c>
      <c r="B187" s="85">
        <v>46208</v>
      </c>
      <c r="C187" s="86">
        <f t="shared" si="4"/>
        <v>7</v>
      </c>
      <c r="D187" s="5"/>
      <c r="E187" s="5">
        <f t="shared" si="5"/>
        <v>0</v>
      </c>
      <c r="F187" s="5"/>
      <c r="G187" s="5"/>
      <c r="H187" s="5"/>
      <c r="I187" s="5"/>
      <c r="J187" s="88"/>
      <c r="K187" s="88"/>
      <c r="L187" s="88"/>
      <c r="M187" s="88"/>
      <c r="N187" s="88">
        <v>0</v>
      </c>
      <c r="O187" s="88">
        <v>0</v>
      </c>
    </row>
    <row r="188" spans="1:15" x14ac:dyDescent="0.25">
      <c r="A188" t="s">
        <v>73</v>
      </c>
      <c r="B188" s="85">
        <v>46209</v>
      </c>
      <c r="C188" s="86">
        <f t="shared" si="4"/>
        <v>7</v>
      </c>
      <c r="D188" s="5"/>
      <c r="E188" s="5">
        <f t="shared" si="5"/>
        <v>0</v>
      </c>
      <c r="F188" s="5"/>
      <c r="G188" s="5"/>
      <c r="H188" s="5"/>
      <c r="I188" s="5"/>
      <c r="J188" s="88"/>
      <c r="K188" s="88"/>
      <c r="L188" s="88"/>
      <c r="M188" s="88"/>
      <c r="N188" s="88">
        <v>0</v>
      </c>
      <c r="O188" s="88">
        <v>0</v>
      </c>
    </row>
    <row r="189" spans="1:15" x14ac:dyDescent="0.25">
      <c r="A189" t="s">
        <v>74</v>
      </c>
      <c r="B189" s="85">
        <v>46210</v>
      </c>
      <c r="C189" s="86">
        <f t="shared" si="4"/>
        <v>7</v>
      </c>
      <c r="D189" s="5"/>
      <c r="E189" s="5">
        <f t="shared" si="5"/>
        <v>0</v>
      </c>
      <c r="F189" s="5"/>
      <c r="G189" s="5"/>
      <c r="H189" s="5"/>
      <c r="I189" s="5"/>
      <c r="J189" s="88"/>
      <c r="K189" s="88"/>
      <c r="L189" s="88"/>
      <c r="M189" s="88"/>
      <c r="N189" s="88">
        <v>0</v>
      </c>
      <c r="O189" s="88">
        <v>0</v>
      </c>
    </row>
    <row r="190" spans="1:15" x14ac:dyDescent="0.25">
      <c r="A190" t="s">
        <v>68</v>
      </c>
      <c r="B190" s="85">
        <v>46211</v>
      </c>
      <c r="C190" s="86">
        <f t="shared" si="4"/>
        <v>7</v>
      </c>
      <c r="D190" s="5"/>
      <c r="E190" s="5">
        <f t="shared" si="5"/>
        <v>0</v>
      </c>
      <c r="F190" s="5"/>
      <c r="G190" s="5"/>
      <c r="H190" s="5"/>
      <c r="I190" s="5"/>
      <c r="J190" s="88"/>
      <c r="K190" s="88"/>
      <c r="L190" s="88"/>
      <c r="M190" s="88"/>
      <c r="N190" s="88" t="e">
        <f>+L190/M190</f>
        <v>#DIV/0!</v>
      </c>
      <c r="O190" s="89" t="e">
        <f>L190/(I190-J190-K190)</f>
        <v>#DIV/0!</v>
      </c>
    </row>
    <row r="191" spans="1:15" x14ac:dyDescent="0.25">
      <c r="A191" t="s">
        <v>69</v>
      </c>
      <c r="B191" s="85">
        <v>46212</v>
      </c>
      <c r="C191" s="86">
        <f t="shared" si="4"/>
        <v>7</v>
      </c>
      <c r="D191" s="5"/>
      <c r="E191" s="5">
        <f t="shared" si="5"/>
        <v>0</v>
      </c>
      <c r="F191" s="5"/>
      <c r="G191" s="5"/>
      <c r="H191" s="5"/>
      <c r="I191" s="5"/>
      <c r="J191" s="88"/>
      <c r="K191" s="88"/>
      <c r="L191" s="88"/>
      <c r="M191" s="88"/>
      <c r="N191" s="88">
        <v>0</v>
      </c>
      <c r="O191" s="88">
        <v>0</v>
      </c>
    </row>
    <row r="192" spans="1:15" x14ac:dyDescent="0.25">
      <c r="A192" t="s">
        <v>70</v>
      </c>
      <c r="B192" s="85">
        <v>46213</v>
      </c>
      <c r="C192" s="86">
        <f t="shared" si="4"/>
        <v>7</v>
      </c>
      <c r="D192" s="5"/>
      <c r="E192" s="5">
        <f t="shared" si="5"/>
        <v>0</v>
      </c>
      <c r="F192" s="5"/>
      <c r="G192" s="5"/>
      <c r="H192" s="5"/>
      <c r="I192" s="5"/>
      <c r="J192" s="88"/>
      <c r="K192" s="88"/>
      <c r="L192" s="88"/>
      <c r="M192" s="88"/>
      <c r="N192" s="88">
        <v>0</v>
      </c>
      <c r="O192" s="88">
        <v>0</v>
      </c>
    </row>
    <row r="193" spans="1:15" x14ac:dyDescent="0.25">
      <c r="A193" t="s">
        <v>71</v>
      </c>
      <c r="B193" s="85">
        <v>46214</v>
      </c>
      <c r="C193" s="86">
        <f t="shared" si="4"/>
        <v>7</v>
      </c>
      <c r="D193" s="5"/>
      <c r="E193" s="5">
        <f t="shared" si="5"/>
        <v>0</v>
      </c>
      <c r="F193" s="5"/>
      <c r="G193" s="5"/>
      <c r="H193" s="5"/>
      <c r="I193" s="5"/>
      <c r="J193" s="88"/>
      <c r="K193" s="88"/>
      <c r="L193" s="88"/>
      <c r="M193" s="88"/>
      <c r="N193" s="88">
        <v>0</v>
      </c>
      <c r="O193" s="88">
        <v>0</v>
      </c>
    </row>
    <row r="194" spans="1:15" x14ac:dyDescent="0.25">
      <c r="A194" t="s">
        <v>72</v>
      </c>
      <c r="B194" s="85">
        <v>46215</v>
      </c>
      <c r="C194" s="86">
        <f t="shared" si="4"/>
        <v>7</v>
      </c>
      <c r="D194" s="5"/>
      <c r="E194" s="5">
        <f t="shared" si="5"/>
        <v>0</v>
      </c>
      <c r="F194" s="5"/>
      <c r="G194" s="5"/>
      <c r="H194" s="5"/>
      <c r="I194" s="5"/>
      <c r="J194" s="88"/>
      <c r="K194" s="88"/>
      <c r="L194" s="88"/>
      <c r="M194" s="88"/>
      <c r="N194" s="88">
        <v>0</v>
      </c>
      <c r="O194" s="88">
        <v>0</v>
      </c>
    </row>
    <row r="195" spans="1:15" x14ac:dyDescent="0.25">
      <c r="A195" t="s">
        <v>73</v>
      </c>
      <c r="B195" s="85">
        <v>46216</v>
      </c>
      <c r="C195" s="86">
        <f t="shared" ref="C195:C244" si="6">MONTH(B195)</f>
        <v>7</v>
      </c>
      <c r="D195" s="5"/>
      <c r="E195" s="5">
        <f t="shared" ref="E195:E258" si="7">+D195-D194</f>
        <v>0</v>
      </c>
      <c r="F195" s="5"/>
      <c r="G195" s="5"/>
      <c r="H195" s="5"/>
      <c r="I195" s="5"/>
      <c r="J195" s="88"/>
      <c r="K195" s="88"/>
      <c r="L195" s="88"/>
      <c r="M195" s="88"/>
      <c r="N195" s="88">
        <v>0</v>
      </c>
      <c r="O195" s="88">
        <v>0</v>
      </c>
    </row>
    <row r="196" spans="1:15" x14ac:dyDescent="0.25">
      <c r="A196" t="s">
        <v>74</v>
      </c>
      <c r="B196" s="85">
        <v>46217</v>
      </c>
      <c r="C196" s="86">
        <f t="shared" si="6"/>
        <v>7</v>
      </c>
      <c r="D196" s="5"/>
      <c r="E196" s="5">
        <f t="shared" si="7"/>
        <v>0</v>
      </c>
      <c r="F196" s="5"/>
      <c r="G196" s="5"/>
      <c r="H196" s="5"/>
      <c r="I196" s="5"/>
      <c r="J196" s="88"/>
      <c r="K196" s="88"/>
      <c r="L196" s="88"/>
      <c r="M196" s="88"/>
      <c r="N196" s="88">
        <v>0</v>
      </c>
      <c r="O196" s="88">
        <v>0</v>
      </c>
    </row>
    <row r="197" spans="1:15" x14ac:dyDescent="0.25">
      <c r="A197" t="s">
        <v>68</v>
      </c>
      <c r="B197" s="85">
        <v>46218</v>
      </c>
      <c r="C197" s="86">
        <f t="shared" si="6"/>
        <v>7</v>
      </c>
      <c r="D197" s="5"/>
      <c r="E197" s="5">
        <f t="shared" si="7"/>
        <v>0</v>
      </c>
      <c r="F197" s="5"/>
      <c r="G197" s="5"/>
      <c r="H197" s="5"/>
      <c r="I197" s="5"/>
      <c r="J197" s="88"/>
      <c r="K197" s="88"/>
      <c r="L197" s="88"/>
      <c r="M197" s="88"/>
      <c r="N197" s="88">
        <v>0</v>
      </c>
      <c r="O197" s="88">
        <v>0</v>
      </c>
    </row>
    <row r="198" spans="1:15" x14ac:dyDescent="0.25">
      <c r="A198" t="s">
        <v>69</v>
      </c>
      <c r="B198" s="85">
        <v>46219</v>
      </c>
      <c r="C198" s="86">
        <f t="shared" si="6"/>
        <v>7</v>
      </c>
      <c r="D198" s="5"/>
      <c r="E198" s="5">
        <f t="shared" si="7"/>
        <v>0</v>
      </c>
      <c r="F198" s="5"/>
      <c r="G198" s="5"/>
      <c r="H198" s="5"/>
      <c r="I198" s="5"/>
      <c r="J198" s="88"/>
      <c r="K198" s="88"/>
      <c r="L198" s="88"/>
      <c r="M198" s="88"/>
      <c r="N198" s="88">
        <v>0</v>
      </c>
      <c r="O198" s="88">
        <v>0</v>
      </c>
    </row>
    <row r="199" spans="1:15" x14ac:dyDescent="0.25">
      <c r="A199" t="s">
        <v>70</v>
      </c>
      <c r="B199" s="85">
        <v>46220</v>
      </c>
      <c r="C199" s="86">
        <f t="shared" si="6"/>
        <v>7</v>
      </c>
      <c r="D199" s="5"/>
      <c r="E199" s="5">
        <f t="shared" si="7"/>
        <v>0</v>
      </c>
      <c r="F199" s="5"/>
      <c r="G199" s="5"/>
      <c r="H199" s="5"/>
      <c r="I199" s="5"/>
      <c r="J199" s="88"/>
      <c r="K199" s="88"/>
      <c r="L199" s="88"/>
      <c r="M199" s="88"/>
      <c r="N199" s="88">
        <v>0</v>
      </c>
      <c r="O199" s="88">
        <v>0</v>
      </c>
    </row>
    <row r="200" spans="1:15" x14ac:dyDescent="0.25">
      <c r="A200" t="s">
        <v>71</v>
      </c>
      <c r="B200" s="85">
        <v>46221</v>
      </c>
      <c r="C200" s="86">
        <f t="shared" si="6"/>
        <v>7</v>
      </c>
      <c r="D200" s="5"/>
      <c r="E200" s="5">
        <f t="shared" si="7"/>
        <v>0</v>
      </c>
      <c r="F200" s="5"/>
      <c r="G200" s="5"/>
      <c r="H200" s="5"/>
      <c r="I200" s="5"/>
      <c r="J200" s="88"/>
      <c r="K200" s="88"/>
      <c r="L200" s="88"/>
      <c r="M200" s="88"/>
      <c r="N200" s="88">
        <v>0</v>
      </c>
      <c r="O200" s="88">
        <v>0</v>
      </c>
    </row>
    <row r="201" spans="1:15" x14ac:dyDescent="0.25">
      <c r="A201" t="s">
        <v>72</v>
      </c>
      <c r="B201" s="85">
        <v>46222</v>
      </c>
      <c r="C201" s="86">
        <f t="shared" si="6"/>
        <v>7</v>
      </c>
      <c r="D201" s="5"/>
      <c r="E201" s="5">
        <f t="shared" si="7"/>
        <v>0</v>
      </c>
      <c r="F201" s="5"/>
      <c r="G201" s="5"/>
      <c r="H201" s="5"/>
      <c r="I201" s="5"/>
      <c r="J201" s="88"/>
      <c r="K201" s="88"/>
      <c r="L201" s="88"/>
      <c r="M201" s="88"/>
      <c r="N201" s="88">
        <v>0</v>
      </c>
      <c r="O201" s="88">
        <v>0</v>
      </c>
    </row>
    <row r="202" spans="1:15" x14ac:dyDescent="0.25">
      <c r="A202" t="s">
        <v>73</v>
      </c>
      <c r="B202" s="85">
        <v>46223</v>
      </c>
      <c r="C202" s="86">
        <f t="shared" si="6"/>
        <v>7</v>
      </c>
      <c r="D202" s="5"/>
      <c r="E202" s="5">
        <f t="shared" si="7"/>
        <v>0</v>
      </c>
      <c r="F202" s="5"/>
      <c r="G202" s="5"/>
      <c r="H202" s="5"/>
      <c r="I202" s="5"/>
      <c r="J202" s="88"/>
      <c r="K202" s="88"/>
      <c r="L202" s="88"/>
      <c r="M202" s="88"/>
      <c r="N202" s="88">
        <v>0</v>
      </c>
      <c r="O202" s="88">
        <v>0</v>
      </c>
    </row>
    <row r="203" spans="1:15" x14ac:dyDescent="0.25">
      <c r="A203" t="s">
        <v>74</v>
      </c>
      <c r="B203" s="85">
        <v>46224</v>
      </c>
      <c r="C203" s="86">
        <f t="shared" si="6"/>
        <v>7</v>
      </c>
      <c r="D203" s="5"/>
      <c r="E203" s="5">
        <f t="shared" si="7"/>
        <v>0</v>
      </c>
      <c r="F203" s="5"/>
      <c r="G203" s="5"/>
      <c r="H203" s="5"/>
      <c r="I203" s="5"/>
      <c r="J203" s="88"/>
      <c r="K203" s="88"/>
      <c r="L203" s="88"/>
      <c r="M203" s="88"/>
      <c r="N203" s="88">
        <v>0</v>
      </c>
      <c r="O203" s="88">
        <v>0</v>
      </c>
    </row>
    <row r="204" spans="1:15" x14ac:dyDescent="0.25">
      <c r="A204" t="s">
        <v>68</v>
      </c>
      <c r="B204" s="85">
        <v>46225</v>
      </c>
      <c r="C204" s="86">
        <f t="shared" si="6"/>
        <v>7</v>
      </c>
      <c r="D204" s="5"/>
      <c r="E204" s="5">
        <f t="shared" si="7"/>
        <v>0</v>
      </c>
      <c r="F204" s="5"/>
      <c r="G204" s="5"/>
      <c r="H204" s="5"/>
      <c r="I204" s="5"/>
      <c r="J204" s="88"/>
      <c r="K204" s="88"/>
      <c r="L204" s="88"/>
      <c r="M204" s="88"/>
      <c r="N204" s="88">
        <v>0</v>
      </c>
      <c r="O204" s="88">
        <v>0</v>
      </c>
    </row>
    <row r="205" spans="1:15" x14ac:dyDescent="0.25">
      <c r="A205" t="s">
        <v>69</v>
      </c>
      <c r="B205" s="85">
        <v>46226</v>
      </c>
      <c r="C205" s="86">
        <f t="shared" si="6"/>
        <v>7</v>
      </c>
      <c r="D205" s="5"/>
      <c r="E205" s="5">
        <f t="shared" si="7"/>
        <v>0</v>
      </c>
      <c r="F205" s="5"/>
      <c r="G205" s="5"/>
      <c r="H205" s="5"/>
      <c r="I205" s="5"/>
      <c r="J205" s="88"/>
      <c r="K205" s="88"/>
      <c r="L205" s="88"/>
      <c r="M205" s="88"/>
      <c r="N205" s="88">
        <v>0</v>
      </c>
      <c r="O205" s="88">
        <v>0</v>
      </c>
    </row>
    <row r="206" spans="1:15" x14ac:dyDescent="0.25">
      <c r="A206" t="s">
        <v>70</v>
      </c>
      <c r="B206" s="85">
        <v>46227</v>
      </c>
      <c r="C206" s="86">
        <f t="shared" si="6"/>
        <v>7</v>
      </c>
      <c r="D206" s="5"/>
      <c r="E206" s="5">
        <f t="shared" si="7"/>
        <v>0</v>
      </c>
      <c r="F206" s="5"/>
      <c r="G206" s="5"/>
      <c r="H206" s="5"/>
      <c r="I206" s="5"/>
      <c r="J206" s="88"/>
      <c r="K206" s="88"/>
      <c r="L206" s="88"/>
      <c r="M206" s="88"/>
      <c r="N206" s="88">
        <v>0</v>
      </c>
      <c r="O206" s="88">
        <v>0</v>
      </c>
    </row>
    <row r="207" spans="1:15" x14ac:dyDescent="0.25">
      <c r="A207" t="s">
        <v>71</v>
      </c>
      <c r="B207" s="85">
        <v>46228</v>
      </c>
      <c r="C207" s="86">
        <f t="shared" si="6"/>
        <v>7</v>
      </c>
      <c r="D207" s="5"/>
      <c r="E207" s="5">
        <f t="shared" si="7"/>
        <v>0</v>
      </c>
      <c r="F207" s="5"/>
      <c r="G207" s="5"/>
      <c r="H207" s="5"/>
      <c r="I207" s="5"/>
      <c r="J207" s="88"/>
      <c r="K207" s="88"/>
      <c r="L207" s="88"/>
      <c r="M207" s="88"/>
      <c r="N207" s="88">
        <v>0</v>
      </c>
      <c r="O207" s="88">
        <v>0</v>
      </c>
    </row>
    <row r="208" spans="1:15" x14ac:dyDescent="0.25">
      <c r="A208" t="s">
        <v>72</v>
      </c>
      <c r="B208" s="85">
        <v>46229</v>
      </c>
      <c r="C208" s="86">
        <f t="shared" si="6"/>
        <v>7</v>
      </c>
      <c r="D208" s="5"/>
      <c r="E208" s="5">
        <f t="shared" si="7"/>
        <v>0</v>
      </c>
      <c r="F208" s="5"/>
      <c r="G208" s="5"/>
      <c r="H208" s="5"/>
      <c r="I208" s="5"/>
      <c r="J208" s="88"/>
      <c r="K208" s="88"/>
      <c r="L208" s="88"/>
      <c r="M208" s="88"/>
      <c r="N208" s="88">
        <v>0</v>
      </c>
      <c r="O208" s="88">
        <v>0</v>
      </c>
    </row>
    <row r="209" spans="1:15" x14ac:dyDescent="0.25">
      <c r="A209" t="s">
        <v>73</v>
      </c>
      <c r="B209" s="85">
        <v>46230</v>
      </c>
      <c r="C209" s="86">
        <f t="shared" si="6"/>
        <v>7</v>
      </c>
      <c r="D209" s="5"/>
      <c r="E209" s="5">
        <f t="shared" si="7"/>
        <v>0</v>
      </c>
      <c r="F209" s="5"/>
      <c r="G209" s="5"/>
      <c r="H209" s="5"/>
      <c r="I209" s="5"/>
      <c r="J209" s="88"/>
      <c r="K209" s="88"/>
      <c r="L209" s="88"/>
      <c r="M209" s="88"/>
      <c r="N209" s="88">
        <v>0</v>
      </c>
      <c r="O209" s="88">
        <v>0</v>
      </c>
    </row>
    <row r="210" spans="1:15" x14ac:dyDescent="0.25">
      <c r="A210" t="s">
        <v>74</v>
      </c>
      <c r="B210" s="85">
        <v>46231</v>
      </c>
      <c r="C210" s="86">
        <f t="shared" si="6"/>
        <v>7</v>
      </c>
      <c r="D210" s="5"/>
      <c r="E210" s="5">
        <f t="shared" si="7"/>
        <v>0</v>
      </c>
      <c r="F210" s="5"/>
      <c r="G210" s="5"/>
      <c r="H210" s="5"/>
      <c r="I210" s="5"/>
      <c r="J210" s="88"/>
      <c r="K210" s="88"/>
      <c r="L210" s="88"/>
      <c r="M210" s="88"/>
      <c r="N210" s="88">
        <v>0</v>
      </c>
      <c r="O210" s="88">
        <v>0</v>
      </c>
    </row>
    <row r="211" spans="1:15" x14ac:dyDescent="0.25">
      <c r="A211" t="s">
        <v>68</v>
      </c>
      <c r="B211" s="85">
        <v>46232</v>
      </c>
      <c r="C211" s="86">
        <f t="shared" si="6"/>
        <v>7</v>
      </c>
      <c r="D211" s="5"/>
      <c r="E211" s="5">
        <f t="shared" si="7"/>
        <v>0</v>
      </c>
      <c r="F211" s="5"/>
      <c r="G211" s="5"/>
      <c r="H211" s="5"/>
      <c r="I211" s="5"/>
      <c r="J211" s="88"/>
      <c r="K211" s="88"/>
      <c r="L211" s="88"/>
      <c r="M211" s="88"/>
      <c r="N211" s="88" t="e">
        <f>+L211/M211</f>
        <v>#DIV/0!</v>
      </c>
      <c r="O211" s="89" t="e">
        <f>L211/(I211-J211-K211)</f>
        <v>#DIV/0!</v>
      </c>
    </row>
    <row r="212" spans="1:15" x14ac:dyDescent="0.25">
      <c r="A212" t="s">
        <v>69</v>
      </c>
      <c r="B212" s="85">
        <v>46233</v>
      </c>
      <c r="C212" s="86">
        <f t="shared" si="6"/>
        <v>7</v>
      </c>
      <c r="D212" s="5"/>
      <c r="E212" s="5">
        <f t="shared" si="7"/>
        <v>0</v>
      </c>
      <c r="F212" s="5"/>
      <c r="G212" s="5"/>
      <c r="H212" s="5"/>
      <c r="I212" s="5"/>
      <c r="J212" s="88"/>
      <c r="K212" s="88"/>
      <c r="L212" s="88"/>
      <c r="M212" s="88"/>
      <c r="N212" s="88">
        <v>0</v>
      </c>
      <c r="O212" s="88">
        <v>0</v>
      </c>
    </row>
    <row r="213" spans="1:15" x14ac:dyDescent="0.25">
      <c r="A213" t="s">
        <v>70</v>
      </c>
      <c r="B213" s="85">
        <v>46234</v>
      </c>
      <c r="C213" s="86">
        <f t="shared" si="6"/>
        <v>7</v>
      </c>
      <c r="D213" s="5"/>
      <c r="E213" s="5">
        <f t="shared" si="7"/>
        <v>0</v>
      </c>
      <c r="F213" s="5"/>
      <c r="G213" s="5"/>
      <c r="H213" s="5"/>
      <c r="I213" s="5"/>
      <c r="J213" s="88"/>
      <c r="K213" s="88"/>
      <c r="L213" s="88"/>
      <c r="M213" s="88"/>
      <c r="N213" s="88">
        <v>0</v>
      </c>
      <c r="O213" s="88">
        <v>0</v>
      </c>
    </row>
    <row r="214" spans="1:15" x14ac:dyDescent="0.25">
      <c r="A214" t="s">
        <v>71</v>
      </c>
      <c r="B214" s="85">
        <v>46235</v>
      </c>
      <c r="C214" s="86">
        <f t="shared" si="6"/>
        <v>8</v>
      </c>
      <c r="D214" s="5"/>
      <c r="E214" s="5">
        <f t="shared" si="7"/>
        <v>0</v>
      </c>
      <c r="G214" s="5"/>
      <c r="H214" s="5"/>
      <c r="I214" s="5"/>
      <c r="J214" s="88"/>
      <c r="K214" s="88"/>
      <c r="L214" s="88"/>
      <c r="M214" s="88"/>
      <c r="N214" s="88">
        <v>0</v>
      </c>
      <c r="O214" s="88">
        <v>0</v>
      </c>
    </row>
    <row r="215" spans="1:15" x14ac:dyDescent="0.25">
      <c r="A215" t="s">
        <v>72</v>
      </c>
      <c r="B215" s="85">
        <v>46236</v>
      </c>
      <c r="C215" s="86">
        <f t="shared" si="6"/>
        <v>8</v>
      </c>
      <c r="D215" s="5"/>
      <c r="E215" s="5">
        <f t="shared" si="7"/>
        <v>0</v>
      </c>
      <c r="G215" s="5"/>
      <c r="H215" s="5"/>
      <c r="I215" s="5"/>
      <c r="J215" s="88"/>
      <c r="K215" s="88"/>
      <c r="L215" s="88"/>
      <c r="M215" s="88"/>
      <c r="N215" s="88">
        <v>0</v>
      </c>
      <c r="O215" s="88">
        <v>0</v>
      </c>
    </row>
    <row r="216" spans="1:15" x14ac:dyDescent="0.25">
      <c r="A216" t="s">
        <v>73</v>
      </c>
      <c r="B216" s="85">
        <v>46237</v>
      </c>
      <c r="C216" s="86">
        <f t="shared" si="6"/>
        <v>8</v>
      </c>
      <c r="D216" s="5"/>
      <c r="E216" s="5">
        <f t="shared" si="7"/>
        <v>0</v>
      </c>
      <c r="G216" s="5"/>
      <c r="H216" s="5"/>
      <c r="I216" s="5"/>
      <c r="J216" s="88"/>
      <c r="K216" s="88"/>
      <c r="L216" s="88"/>
      <c r="M216" s="88"/>
      <c r="N216" s="88">
        <v>0</v>
      </c>
      <c r="O216" s="88">
        <v>0</v>
      </c>
    </row>
    <row r="217" spans="1:15" x14ac:dyDescent="0.25">
      <c r="A217" t="s">
        <v>74</v>
      </c>
      <c r="B217" s="85">
        <v>46238</v>
      </c>
      <c r="C217" s="86">
        <f t="shared" si="6"/>
        <v>8</v>
      </c>
      <c r="D217" s="5"/>
      <c r="E217" s="5">
        <f t="shared" si="7"/>
        <v>0</v>
      </c>
      <c r="F217" s="5"/>
      <c r="G217" s="5"/>
      <c r="H217" s="5"/>
      <c r="I217" s="5"/>
      <c r="J217" s="88"/>
      <c r="K217" s="88"/>
      <c r="L217" s="88"/>
      <c r="M217" s="88"/>
      <c r="N217" s="88">
        <v>0</v>
      </c>
      <c r="O217" s="88">
        <v>0</v>
      </c>
    </row>
    <row r="218" spans="1:15" x14ac:dyDescent="0.25">
      <c r="A218" t="s">
        <v>68</v>
      </c>
      <c r="B218" s="85">
        <v>46239</v>
      </c>
      <c r="C218" s="86">
        <f t="shared" si="6"/>
        <v>8</v>
      </c>
      <c r="D218" s="5"/>
      <c r="E218" s="5">
        <f t="shared" si="7"/>
        <v>0</v>
      </c>
      <c r="F218" s="5"/>
      <c r="G218" s="5"/>
      <c r="H218" s="5"/>
      <c r="I218" s="5"/>
      <c r="J218" s="88"/>
      <c r="K218" s="88"/>
      <c r="L218" s="88"/>
      <c r="M218" s="88"/>
      <c r="N218" s="88" t="e">
        <f>+L218/M218</f>
        <v>#DIV/0!</v>
      </c>
      <c r="O218" s="89" t="e">
        <f>L218/(I218-J218-K218)</f>
        <v>#DIV/0!</v>
      </c>
    </row>
    <row r="219" spans="1:15" x14ac:dyDescent="0.25">
      <c r="A219" t="s">
        <v>69</v>
      </c>
      <c r="B219" s="85">
        <v>46240</v>
      </c>
      <c r="C219" s="86">
        <f t="shared" si="6"/>
        <v>8</v>
      </c>
      <c r="D219" s="5"/>
      <c r="E219" s="5">
        <f t="shared" si="7"/>
        <v>0</v>
      </c>
      <c r="F219" s="5"/>
      <c r="G219" s="5"/>
      <c r="H219" s="5"/>
      <c r="I219" s="5"/>
      <c r="J219" s="88"/>
      <c r="K219" s="88"/>
      <c r="L219" s="88"/>
      <c r="M219" s="88"/>
      <c r="N219" s="88">
        <v>0</v>
      </c>
      <c r="O219" s="88">
        <v>0</v>
      </c>
    </row>
    <row r="220" spans="1:15" x14ac:dyDescent="0.25">
      <c r="A220" t="s">
        <v>70</v>
      </c>
      <c r="B220" s="85">
        <v>46241</v>
      </c>
      <c r="C220" s="86">
        <f t="shared" si="6"/>
        <v>8</v>
      </c>
      <c r="D220" s="5"/>
      <c r="E220" s="5">
        <f t="shared" si="7"/>
        <v>0</v>
      </c>
      <c r="F220" s="5"/>
      <c r="G220" s="5"/>
      <c r="H220" s="5"/>
      <c r="I220" s="5"/>
      <c r="J220" s="88"/>
      <c r="K220" s="88"/>
      <c r="L220" s="88"/>
      <c r="M220" s="88"/>
      <c r="N220" s="88">
        <v>0</v>
      </c>
      <c r="O220" s="88">
        <v>0</v>
      </c>
    </row>
    <row r="221" spans="1:15" x14ac:dyDescent="0.25">
      <c r="A221" t="s">
        <v>71</v>
      </c>
      <c r="B221" s="85">
        <v>46242</v>
      </c>
      <c r="C221" s="86">
        <f t="shared" si="6"/>
        <v>8</v>
      </c>
      <c r="D221" s="5"/>
      <c r="E221" s="5">
        <f t="shared" si="7"/>
        <v>0</v>
      </c>
      <c r="F221" s="5"/>
      <c r="G221" s="5"/>
      <c r="H221" s="5"/>
      <c r="I221" s="5"/>
      <c r="J221" s="88"/>
      <c r="K221" s="88"/>
      <c r="L221" s="88"/>
      <c r="M221" s="88"/>
      <c r="N221" s="88">
        <v>0</v>
      </c>
      <c r="O221" s="88">
        <v>0</v>
      </c>
    </row>
    <row r="222" spans="1:15" x14ac:dyDescent="0.25">
      <c r="A222" t="s">
        <v>72</v>
      </c>
      <c r="B222" s="85">
        <v>46243</v>
      </c>
      <c r="C222" s="86">
        <f t="shared" si="6"/>
        <v>8</v>
      </c>
      <c r="D222" s="5"/>
      <c r="E222" s="5">
        <f t="shared" si="7"/>
        <v>0</v>
      </c>
      <c r="F222" s="5"/>
      <c r="G222" s="5"/>
      <c r="H222" s="5"/>
      <c r="I222" s="5"/>
      <c r="J222" s="88"/>
      <c r="K222" s="88"/>
      <c r="L222" s="88"/>
      <c r="M222" s="88"/>
      <c r="N222" s="88">
        <v>0</v>
      </c>
      <c r="O222" s="88">
        <v>0</v>
      </c>
    </row>
    <row r="223" spans="1:15" x14ac:dyDescent="0.25">
      <c r="A223" t="s">
        <v>73</v>
      </c>
      <c r="B223" s="85">
        <v>46244</v>
      </c>
      <c r="C223" s="86">
        <f t="shared" si="6"/>
        <v>8</v>
      </c>
      <c r="D223" s="5"/>
      <c r="E223" s="5">
        <f t="shared" si="7"/>
        <v>0</v>
      </c>
      <c r="F223" s="5"/>
      <c r="G223" s="5"/>
      <c r="H223" s="5"/>
      <c r="I223" s="5"/>
      <c r="J223" s="88"/>
      <c r="K223" s="88"/>
      <c r="L223" s="88"/>
      <c r="M223" s="88"/>
      <c r="N223" s="88">
        <v>0</v>
      </c>
      <c r="O223" s="88">
        <v>0</v>
      </c>
    </row>
    <row r="224" spans="1:15" x14ac:dyDescent="0.25">
      <c r="A224" t="s">
        <v>74</v>
      </c>
      <c r="B224" s="85">
        <v>46245</v>
      </c>
      <c r="C224" s="86">
        <f t="shared" si="6"/>
        <v>8</v>
      </c>
      <c r="D224" s="5"/>
      <c r="E224" s="5">
        <f t="shared" si="7"/>
        <v>0</v>
      </c>
      <c r="F224" s="5"/>
      <c r="G224" s="5"/>
      <c r="H224" s="5"/>
      <c r="I224" s="5"/>
      <c r="J224" s="88"/>
      <c r="K224" s="88"/>
      <c r="L224" s="88"/>
      <c r="M224" s="88"/>
      <c r="N224" s="88">
        <v>0</v>
      </c>
      <c r="O224" s="88">
        <v>0</v>
      </c>
    </row>
    <row r="225" spans="1:15" x14ac:dyDescent="0.25">
      <c r="A225" t="s">
        <v>68</v>
      </c>
      <c r="B225" s="85">
        <v>46246</v>
      </c>
      <c r="C225" s="86">
        <f t="shared" si="6"/>
        <v>8</v>
      </c>
      <c r="D225" s="5"/>
      <c r="E225" s="5">
        <f t="shared" si="7"/>
        <v>0</v>
      </c>
      <c r="F225" s="5"/>
      <c r="G225" s="5"/>
      <c r="H225" s="5"/>
      <c r="I225" s="5"/>
      <c r="J225" s="88"/>
      <c r="K225" s="88"/>
      <c r="L225" s="88"/>
      <c r="M225" s="88"/>
      <c r="N225" s="88">
        <v>0</v>
      </c>
      <c r="O225" s="88">
        <v>0</v>
      </c>
    </row>
    <row r="226" spans="1:15" x14ac:dyDescent="0.25">
      <c r="A226" t="s">
        <v>69</v>
      </c>
      <c r="B226" s="85">
        <v>46247</v>
      </c>
      <c r="C226" s="86">
        <f t="shared" si="6"/>
        <v>8</v>
      </c>
      <c r="D226" s="5"/>
      <c r="E226" s="5">
        <f t="shared" si="7"/>
        <v>0</v>
      </c>
      <c r="F226" s="5"/>
      <c r="G226" s="5"/>
      <c r="H226" s="5"/>
      <c r="I226" s="5"/>
      <c r="J226" s="88"/>
      <c r="K226" s="88"/>
      <c r="L226" s="88"/>
      <c r="M226" s="88"/>
      <c r="N226" s="88">
        <v>0</v>
      </c>
      <c r="O226" s="88">
        <v>0</v>
      </c>
    </row>
    <row r="227" spans="1:15" x14ac:dyDescent="0.25">
      <c r="A227" t="s">
        <v>70</v>
      </c>
      <c r="B227" s="85">
        <v>46248</v>
      </c>
      <c r="C227" s="86">
        <f t="shared" si="6"/>
        <v>8</v>
      </c>
      <c r="D227" s="5"/>
      <c r="E227" s="5">
        <f t="shared" si="7"/>
        <v>0</v>
      </c>
      <c r="F227" s="5"/>
      <c r="G227" s="5"/>
      <c r="H227" s="5"/>
      <c r="I227" s="5"/>
      <c r="J227" s="88"/>
      <c r="K227" s="88"/>
      <c r="L227" s="88"/>
      <c r="M227" s="88"/>
      <c r="N227" s="88">
        <v>0</v>
      </c>
      <c r="O227" s="88">
        <v>0</v>
      </c>
    </row>
    <row r="228" spans="1:15" x14ac:dyDescent="0.25">
      <c r="A228" t="s">
        <v>71</v>
      </c>
      <c r="B228" s="85">
        <v>46249</v>
      </c>
      <c r="C228" s="86">
        <f t="shared" si="6"/>
        <v>8</v>
      </c>
      <c r="D228" s="5"/>
      <c r="E228" s="5">
        <f t="shared" si="7"/>
        <v>0</v>
      </c>
      <c r="F228" s="5"/>
      <c r="G228" s="5"/>
      <c r="H228" s="5"/>
      <c r="I228" s="5"/>
      <c r="J228" s="88"/>
      <c r="K228" s="88"/>
      <c r="L228" s="88"/>
      <c r="M228" s="88"/>
      <c r="N228" s="88">
        <v>0</v>
      </c>
      <c r="O228" s="88">
        <v>0</v>
      </c>
    </row>
    <row r="229" spans="1:15" x14ac:dyDescent="0.25">
      <c r="A229" t="s">
        <v>72</v>
      </c>
      <c r="B229" s="85">
        <v>46250</v>
      </c>
      <c r="C229" s="86">
        <f t="shared" si="6"/>
        <v>8</v>
      </c>
      <c r="D229" s="5"/>
      <c r="E229" s="5">
        <f t="shared" si="7"/>
        <v>0</v>
      </c>
      <c r="F229" s="5"/>
      <c r="G229" s="5"/>
      <c r="H229" s="5"/>
      <c r="I229" s="5"/>
      <c r="J229" s="88"/>
      <c r="K229" s="88"/>
      <c r="L229" s="88"/>
      <c r="M229" s="88"/>
      <c r="N229" s="88">
        <v>0</v>
      </c>
      <c r="O229" s="88">
        <v>0</v>
      </c>
    </row>
    <row r="230" spans="1:15" x14ac:dyDescent="0.25">
      <c r="A230" t="s">
        <v>73</v>
      </c>
      <c r="B230" s="85">
        <v>46251</v>
      </c>
      <c r="C230" s="86">
        <f t="shared" si="6"/>
        <v>8</v>
      </c>
      <c r="D230" s="5"/>
      <c r="E230" s="5">
        <f t="shared" si="7"/>
        <v>0</v>
      </c>
      <c r="F230" s="5"/>
      <c r="G230" s="5"/>
      <c r="H230" s="5"/>
      <c r="I230" s="5"/>
      <c r="J230" s="88"/>
      <c r="K230" s="88"/>
      <c r="L230" s="88"/>
      <c r="M230" s="88"/>
      <c r="N230" s="88">
        <v>0</v>
      </c>
      <c r="O230" s="88">
        <v>0</v>
      </c>
    </row>
    <row r="231" spans="1:15" x14ac:dyDescent="0.25">
      <c r="A231" t="s">
        <v>74</v>
      </c>
      <c r="B231" s="85">
        <v>46252</v>
      </c>
      <c r="C231" s="86">
        <f t="shared" si="6"/>
        <v>8</v>
      </c>
      <c r="D231" s="5"/>
      <c r="E231" s="5">
        <f t="shared" si="7"/>
        <v>0</v>
      </c>
      <c r="F231" s="5"/>
      <c r="G231" s="5"/>
      <c r="H231" s="5"/>
      <c r="I231" s="5"/>
      <c r="J231" s="88"/>
      <c r="K231" s="88"/>
      <c r="L231" s="88"/>
      <c r="M231" s="88"/>
      <c r="N231" s="88">
        <v>0</v>
      </c>
      <c r="O231" s="88">
        <v>0</v>
      </c>
    </row>
    <row r="232" spans="1:15" x14ac:dyDescent="0.25">
      <c r="A232" t="s">
        <v>68</v>
      </c>
      <c r="B232" s="85">
        <v>46253</v>
      </c>
      <c r="C232" s="86">
        <f t="shared" si="6"/>
        <v>8</v>
      </c>
      <c r="D232" s="5"/>
      <c r="E232" s="5">
        <f t="shared" si="7"/>
        <v>0</v>
      </c>
      <c r="F232" s="5"/>
      <c r="G232" s="5"/>
      <c r="H232" s="5"/>
      <c r="I232" s="5"/>
      <c r="J232" s="88"/>
      <c r="K232" s="88"/>
      <c r="L232" s="88"/>
      <c r="M232" s="88"/>
      <c r="N232" s="88" t="e">
        <f>+L232/M232</f>
        <v>#DIV/0!</v>
      </c>
      <c r="O232" s="89" t="e">
        <f>L232/(I232-J232-K232)</f>
        <v>#DIV/0!</v>
      </c>
    </row>
    <row r="233" spans="1:15" x14ac:dyDescent="0.25">
      <c r="A233" t="s">
        <v>69</v>
      </c>
      <c r="B233" s="85">
        <v>46254</v>
      </c>
      <c r="C233" s="86">
        <f t="shared" si="6"/>
        <v>8</v>
      </c>
      <c r="D233" s="5"/>
      <c r="E233" s="5">
        <f t="shared" si="7"/>
        <v>0</v>
      </c>
      <c r="F233" s="5"/>
      <c r="G233" s="5"/>
      <c r="H233" s="5"/>
      <c r="I233" s="5"/>
      <c r="J233" s="88"/>
      <c r="K233" s="88"/>
      <c r="L233" s="88"/>
      <c r="M233" s="88"/>
      <c r="N233" s="88">
        <v>0</v>
      </c>
      <c r="O233" s="88">
        <v>0</v>
      </c>
    </row>
    <row r="234" spans="1:15" x14ac:dyDescent="0.25">
      <c r="A234" t="s">
        <v>70</v>
      </c>
      <c r="B234" s="85">
        <v>46255</v>
      </c>
      <c r="C234" s="86">
        <f t="shared" si="6"/>
        <v>8</v>
      </c>
      <c r="D234" s="5"/>
      <c r="E234" s="5">
        <f t="shared" si="7"/>
        <v>0</v>
      </c>
      <c r="F234" s="5"/>
      <c r="G234" s="5"/>
      <c r="H234" s="5"/>
      <c r="I234" s="5"/>
      <c r="J234" s="88"/>
      <c r="K234" s="88"/>
      <c r="L234" s="88"/>
      <c r="M234" s="88"/>
      <c r="N234" s="88">
        <v>0</v>
      </c>
      <c r="O234" s="88">
        <v>0</v>
      </c>
    </row>
    <row r="235" spans="1:15" x14ac:dyDescent="0.25">
      <c r="A235" t="s">
        <v>71</v>
      </c>
      <c r="B235" s="85">
        <v>46256</v>
      </c>
      <c r="C235" s="86">
        <f t="shared" si="6"/>
        <v>8</v>
      </c>
      <c r="D235" s="5"/>
      <c r="E235" s="5">
        <f t="shared" si="7"/>
        <v>0</v>
      </c>
      <c r="F235" s="5"/>
      <c r="G235" s="5"/>
      <c r="H235" s="5"/>
      <c r="I235" s="5"/>
      <c r="J235" s="88"/>
      <c r="K235" s="88"/>
      <c r="L235" s="88"/>
      <c r="M235" s="88"/>
      <c r="N235" s="88">
        <v>0</v>
      </c>
      <c r="O235" s="88">
        <v>0</v>
      </c>
    </row>
    <row r="236" spans="1:15" x14ac:dyDescent="0.25">
      <c r="A236" t="s">
        <v>72</v>
      </c>
      <c r="B236" s="85">
        <v>46257</v>
      </c>
      <c r="C236" s="86">
        <f t="shared" si="6"/>
        <v>8</v>
      </c>
      <c r="D236" s="5"/>
      <c r="E236" s="5">
        <f t="shared" si="7"/>
        <v>0</v>
      </c>
      <c r="F236" s="5"/>
      <c r="G236" s="5"/>
      <c r="H236" s="5"/>
      <c r="I236" s="5"/>
      <c r="J236" s="88"/>
      <c r="K236" s="88"/>
      <c r="L236" s="88"/>
      <c r="M236" s="88"/>
      <c r="N236" s="88">
        <v>0</v>
      </c>
      <c r="O236" s="88">
        <v>0</v>
      </c>
    </row>
    <row r="237" spans="1:15" x14ac:dyDescent="0.25">
      <c r="A237" t="s">
        <v>73</v>
      </c>
      <c r="B237" s="85">
        <v>46258</v>
      </c>
      <c r="C237" s="86">
        <f t="shared" si="6"/>
        <v>8</v>
      </c>
      <c r="D237" s="5"/>
      <c r="E237" s="5">
        <f t="shared" si="7"/>
        <v>0</v>
      </c>
      <c r="F237" s="5"/>
      <c r="G237" s="5"/>
      <c r="H237" s="5"/>
      <c r="I237" s="5"/>
      <c r="J237" s="88"/>
      <c r="K237" s="88"/>
      <c r="L237" s="88"/>
      <c r="M237" s="88"/>
      <c r="N237" s="88">
        <v>0</v>
      </c>
      <c r="O237" s="88">
        <v>0</v>
      </c>
    </row>
    <row r="238" spans="1:15" x14ac:dyDescent="0.25">
      <c r="A238" t="s">
        <v>74</v>
      </c>
      <c r="B238" s="85">
        <v>46259</v>
      </c>
      <c r="C238" s="86">
        <f t="shared" si="6"/>
        <v>8</v>
      </c>
      <c r="D238" s="5"/>
      <c r="E238" s="5">
        <f t="shared" si="7"/>
        <v>0</v>
      </c>
      <c r="F238" s="5"/>
      <c r="G238" s="5"/>
      <c r="H238" s="5"/>
      <c r="I238" s="5"/>
      <c r="J238" s="88"/>
      <c r="K238" s="88"/>
      <c r="L238" s="88"/>
      <c r="M238" s="88"/>
      <c r="N238" s="88">
        <v>0</v>
      </c>
      <c r="O238" s="88">
        <v>0</v>
      </c>
    </row>
    <row r="239" spans="1:15" x14ac:dyDescent="0.25">
      <c r="A239" t="s">
        <v>68</v>
      </c>
      <c r="B239" s="85">
        <v>46260</v>
      </c>
      <c r="C239" s="86">
        <f t="shared" si="6"/>
        <v>8</v>
      </c>
      <c r="D239" s="5"/>
      <c r="E239" s="5">
        <f t="shared" si="7"/>
        <v>0</v>
      </c>
      <c r="F239" s="5"/>
      <c r="G239" s="5"/>
      <c r="H239" s="5"/>
      <c r="I239" s="5"/>
      <c r="J239" s="88"/>
      <c r="K239" s="88"/>
      <c r="L239" s="88"/>
      <c r="M239" s="88"/>
      <c r="N239" s="88">
        <v>0</v>
      </c>
      <c r="O239" s="88">
        <v>0</v>
      </c>
    </row>
    <row r="240" spans="1:15" x14ac:dyDescent="0.25">
      <c r="A240" t="s">
        <v>69</v>
      </c>
      <c r="B240" s="85">
        <v>46261</v>
      </c>
      <c r="C240" s="86">
        <f t="shared" si="6"/>
        <v>8</v>
      </c>
      <c r="D240" s="5"/>
      <c r="E240" s="5">
        <f t="shared" si="7"/>
        <v>0</v>
      </c>
      <c r="F240" s="5"/>
      <c r="G240" s="5"/>
      <c r="H240" s="5"/>
      <c r="I240" s="5"/>
      <c r="J240" s="88"/>
      <c r="K240" s="88"/>
      <c r="L240" s="88"/>
      <c r="M240" s="88"/>
      <c r="N240" s="88">
        <v>0</v>
      </c>
      <c r="O240" s="88">
        <v>0</v>
      </c>
    </row>
    <row r="241" spans="1:15" x14ac:dyDescent="0.25">
      <c r="A241" t="s">
        <v>70</v>
      </c>
      <c r="B241" s="85">
        <v>46262</v>
      </c>
      <c r="C241" s="86">
        <f t="shared" si="6"/>
        <v>8</v>
      </c>
      <c r="D241" s="5"/>
      <c r="E241" s="5">
        <f t="shared" si="7"/>
        <v>0</v>
      </c>
      <c r="F241" s="5"/>
      <c r="G241" s="5"/>
      <c r="H241" s="5"/>
      <c r="I241" s="5"/>
      <c r="J241" s="88"/>
      <c r="K241" s="88"/>
      <c r="L241" s="88"/>
      <c r="M241" s="88"/>
      <c r="N241" s="88">
        <v>0</v>
      </c>
      <c r="O241" s="88">
        <v>0</v>
      </c>
    </row>
    <row r="242" spans="1:15" x14ac:dyDescent="0.25">
      <c r="A242" t="s">
        <v>71</v>
      </c>
      <c r="B242" s="85">
        <v>46263</v>
      </c>
      <c r="C242" s="86">
        <f t="shared" si="6"/>
        <v>8</v>
      </c>
      <c r="D242" s="5"/>
      <c r="E242" s="5">
        <f t="shared" si="7"/>
        <v>0</v>
      </c>
      <c r="F242" s="5"/>
      <c r="G242" s="5"/>
      <c r="H242" s="5"/>
      <c r="I242" s="5"/>
      <c r="J242" s="88"/>
      <c r="K242" s="88"/>
      <c r="L242" s="88"/>
      <c r="M242" s="88"/>
      <c r="N242" s="88">
        <v>0</v>
      </c>
      <c r="O242" s="88">
        <v>0</v>
      </c>
    </row>
    <row r="243" spans="1:15" x14ac:dyDescent="0.25">
      <c r="A243" t="s">
        <v>72</v>
      </c>
      <c r="B243" s="85">
        <v>46264</v>
      </c>
      <c r="C243" s="86">
        <f t="shared" si="6"/>
        <v>8</v>
      </c>
      <c r="D243" s="5"/>
      <c r="E243" s="5">
        <f t="shared" si="7"/>
        <v>0</v>
      </c>
      <c r="F243" s="5"/>
      <c r="G243" s="5"/>
      <c r="H243" s="5"/>
      <c r="I243" s="5"/>
      <c r="J243" s="88"/>
      <c r="K243" s="88"/>
      <c r="L243" s="88"/>
      <c r="M243" s="88"/>
      <c r="N243" s="88">
        <v>0</v>
      </c>
      <c r="O243" s="88">
        <v>0</v>
      </c>
    </row>
    <row r="244" spans="1:15" x14ac:dyDescent="0.25">
      <c r="A244" t="s">
        <v>73</v>
      </c>
      <c r="B244" s="85">
        <v>46265</v>
      </c>
      <c r="C244" s="86">
        <f t="shared" si="6"/>
        <v>8</v>
      </c>
      <c r="D244" s="5"/>
      <c r="E244" s="5">
        <f t="shared" si="7"/>
        <v>0</v>
      </c>
      <c r="F244" s="5"/>
      <c r="G244" s="5"/>
      <c r="H244" s="5"/>
      <c r="I244" s="5"/>
      <c r="J244" s="88"/>
      <c r="K244" s="88"/>
      <c r="L244" s="88"/>
      <c r="M244" s="88"/>
      <c r="N244" s="88">
        <v>0</v>
      </c>
      <c r="O244" s="88">
        <v>0</v>
      </c>
    </row>
    <row r="245" spans="1:15" x14ac:dyDescent="0.25">
      <c r="A245" t="s">
        <v>74</v>
      </c>
      <c r="B245" s="85">
        <v>46266</v>
      </c>
      <c r="C245">
        <v>9</v>
      </c>
      <c r="D245" s="5"/>
      <c r="E245" s="5">
        <f t="shared" si="7"/>
        <v>0</v>
      </c>
      <c r="F245" s="5"/>
      <c r="G245" s="5"/>
      <c r="H245" s="5"/>
      <c r="I245" s="5"/>
      <c r="J245" s="88"/>
      <c r="K245" s="88"/>
      <c r="L245" s="88"/>
      <c r="M245" s="88"/>
      <c r="N245" s="88">
        <v>0</v>
      </c>
      <c r="O245" s="88">
        <v>0</v>
      </c>
    </row>
    <row r="246" spans="1:15" x14ac:dyDescent="0.25">
      <c r="A246" t="s">
        <v>68</v>
      </c>
      <c r="B246" s="85">
        <v>46267</v>
      </c>
      <c r="C246">
        <v>9</v>
      </c>
      <c r="D246" s="5"/>
      <c r="E246" s="5">
        <f t="shared" si="7"/>
        <v>0</v>
      </c>
      <c r="F246" s="5"/>
      <c r="G246" s="5"/>
      <c r="H246" s="5"/>
      <c r="I246" s="5"/>
      <c r="J246" s="88"/>
      <c r="K246" s="88"/>
      <c r="L246" s="88"/>
      <c r="M246" s="88"/>
      <c r="N246" s="88">
        <v>0</v>
      </c>
      <c r="O246" s="88">
        <v>0</v>
      </c>
    </row>
    <row r="247" spans="1:15" x14ac:dyDescent="0.25">
      <c r="A247" t="s">
        <v>69</v>
      </c>
      <c r="B247" s="85">
        <v>46268</v>
      </c>
      <c r="C247">
        <v>9</v>
      </c>
      <c r="D247" s="5"/>
      <c r="E247" s="5">
        <f t="shared" si="7"/>
        <v>0</v>
      </c>
      <c r="F247" s="5"/>
      <c r="G247" s="5"/>
      <c r="H247" s="5"/>
      <c r="I247" s="5"/>
      <c r="J247" s="88"/>
      <c r="K247" s="88"/>
      <c r="L247" s="88"/>
      <c r="M247" s="88"/>
      <c r="N247" s="88" t="e">
        <f>+L247/M247</f>
        <v>#DIV/0!</v>
      </c>
      <c r="O247" s="89" t="e">
        <f>L247/(I247-J247-K247)</f>
        <v>#DIV/0!</v>
      </c>
    </row>
    <row r="248" spans="1:15" x14ac:dyDescent="0.25">
      <c r="A248" t="s">
        <v>70</v>
      </c>
      <c r="B248" s="85">
        <v>46269</v>
      </c>
      <c r="C248">
        <v>9</v>
      </c>
      <c r="D248" s="5"/>
      <c r="E248" s="5">
        <f t="shared" si="7"/>
        <v>0</v>
      </c>
      <c r="F248" s="5"/>
      <c r="G248" s="5"/>
      <c r="H248" s="5"/>
      <c r="I248" s="5"/>
      <c r="J248" s="88"/>
      <c r="K248" s="88"/>
      <c r="L248" s="88"/>
      <c r="M248" s="88"/>
      <c r="N248" s="88">
        <v>0</v>
      </c>
      <c r="O248" s="88">
        <v>0</v>
      </c>
    </row>
    <row r="249" spans="1:15" x14ac:dyDescent="0.25">
      <c r="A249" t="s">
        <v>71</v>
      </c>
      <c r="B249" s="85">
        <v>46270</v>
      </c>
      <c r="C249">
        <v>9</v>
      </c>
      <c r="D249" s="5"/>
      <c r="E249" s="5">
        <f t="shared" si="7"/>
        <v>0</v>
      </c>
      <c r="F249" s="5"/>
      <c r="G249" s="5"/>
      <c r="H249" s="5"/>
      <c r="I249" s="5"/>
      <c r="J249" s="88"/>
      <c r="K249" s="88"/>
      <c r="L249" s="88"/>
      <c r="M249" s="88"/>
      <c r="N249" s="88">
        <v>0</v>
      </c>
      <c r="O249" s="88">
        <v>0</v>
      </c>
    </row>
    <row r="250" spans="1:15" x14ac:dyDescent="0.25">
      <c r="A250" t="s">
        <v>72</v>
      </c>
      <c r="B250" s="85">
        <v>46271</v>
      </c>
      <c r="C250">
        <v>9</v>
      </c>
      <c r="D250" s="5"/>
      <c r="E250" s="5">
        <f t="shared" si="7"/>
        <v>0</v>
      </c>
      <c r="F250" s="5"/>
      <c r="G250" s="5"/>
      <c r="H250" s="5"/>
      <c r="I250" s="5"/>
      <c r="J250" s="88"/>
      <c r="K250" s="88"/>
      <c r="L250" s="88"/>
      <c r="M250" s="88"/>
      <c r="N250" s="88">
        <v>0</v>
      </c>
      <c r="O250" s="88">
        <v>0</v>
      </c>
    </row>
    <row r="251" spans="1:15" x14ac:dyDescent="0.25">
      <c r="A251" t="s">
        <v>73</v>
      </c>
      <c r="B251" s="85">
        <v>46272</v>
      </c>
      <c r="C251">
        <v>9</v>
      </c>
      <c r="D251" s="5"/>
      <c r="E251" s="5">
        <f t="shared" si="7"/>
        <v>0</v>
      </c>
      <c r="F251" s="5"/>
      <c r="G251" s="5"/>
      <c r="H251" s="5"/>
      <c r="I251" s="5"/>
      <c r="J251" s="88"/>
      <c r="K251" s="88"/>
      <c r="L251" s="88"/>
      <c r="M251" s="88"/>
      <c r="N251" s="88">
        <v>0</v>
      </c>
      <c r="O251" s="88">
        <v>0</v>
      </c>
    </row>
    <row r="252" spans="1:15" x14ac:dyDescent="0.25">
      <c r="A252" t="s">
        <v>74</v>
      </c>
      <c r="B252" s="85">
        <v>46273</v>
      </c>
      <c r="C252">
        <v>9</v>
      </c>
      <c r="D252" s="5"/>
      <c r="E252" s="5">
        <f t="shared" si="7"/>
        <v>0</v>
      </c>
      <c r="F252" s="5"/>
      <c r="G252" s="5"/>
      <c r="H252" s="5"/>
      <c r="I252" s="5"/>
      <c r="J252" s="88"/>
      <c r="K252" s="88"/>
      <c r="L252" s="88"/>
      <c r="M252" s="88"/>
      <c r="N252" s="88">
        <v>0</v>
      </c>
      <c r="O252" s="88">
        <v>0</v>
      </c>
    </row>
    <row r="253" spans="1:15" x14ac:dyDescent="0.25">
      <c r="A253" t="s">
        <v>68</v>
      </c>
      <c r="B253" s="85">
        <v>46274</v>
      </c>
      <c r="C253">
        <v>9</v>
      </c>
      <c r="D253" s="5"/>
      <c r="E253" s="5">
        <f t="shared" si="7"/>
        <v>0</v>
      </c>
      <c r="F253" s="5"/>
      <c r="G253" s="5"/>
      <c r="H253" s="5"/>
      <c r="I253" s="5"/>
      <c r="J253" s="88"/>
      <c r="K253" s="88"/>
      <c r="L253" s="88"/>
      <c r="M253" s="88"/>
      <c r="N253" s="88">
        <v>0</v>
      </c>
      <c r="O253" s="88">
        <v>0</v>
      </c>
    </row>
    <row r="254" spans="1:15" x14ac:dyDescent="0.25">
      <c r="A254" t="s">
        <v>69</v>
      </c>
      <c r="B254" s="85">
        <v>46275</v>
      </c>
      <c r="C254">
        <v>9</v>
      </c>
      <c r="D254" s="5"/>
      <c r="E254" s="5">
        <f t="shared" si="7"/>
        <v>0</v>
      </c>
      <c r="F254" s="5"/>
      <c r="G254" s="5"/>
      <c r="H254" s="5"/>
      <c r="I254" s="5"/>
      <c r="J254" s="88"/>
      <c r="K254" s="88"/>
      <c r="L254" s="88"/>
      <c r="M254" s="88"/>
      <c r="N254" s="88">
        <v>0</v>
      </c>
      <c r="O254" s="88">
        <v>0</v>
      </c>
    </row>
    <row r="255" spans="1:15" x14ac:dyDescent="0.25">
      <c r="A255" t="s">
        <v>70</v>
      </c>
      <c r="B255" s="85">
        <v>46276</v>
      </c>
      <c r="C255">
        <v>9</v>
      </c>
      <c r="D255" s="5"/>
      <c r="E255" s="5">
        <f t="shared" si="7"/>
        <v>0</v>
      </c>
      <c r="F255" s="5"/>
      <c r="G255" s="5"/>
      <c r="H255" s="5"/>
      <c r="I255" s="5"/>
      <c r="J255" s="88"/>
      <c r="K255" s="88"/>
      <c r="L255" s="88"/>
      <c r="M255" s="88"/>
      <c r="N255" s="88">
        <v>0</v>
      </c>
      <c r="O255" s="88">
        <v>0</v>
      </c>
    </row>
    <row r="256" spans="1:15" x14ac:dyDescent="0.25">
      <c r="A256" t="s">
        <v>71</v>
      </c>
      <c r="B256" s="85">
        <v>46277</v>
      </c>
      <c r="C256">
        <v>9</v>
      </c>
      <c r="D256" s="5"/>
      <c r="E256" s="5">
        <f t="shared" si="7"/>
        <v>0</v>
      </c>
      <c r="F256" s="5"/>
      <c r="G256" s="5"/>
      <c r="H256" s="5"/>
      <c r="I256" s="5"/>
      <c r="J256" s="88"/>
      <c r="K256" s="88"/>
      <c r="L256" s="88"/>
      <c r="M256" s="88"/>
      <c r="N256" s="88" t="e">
        <f>+L256/M256</f>
        <v>#DIV/0!</v>
      </c>
      <c r="O256" s="89" t="e">
        <f>L256/(I256-J256-K256)</f>
        <v>#DIV/0!</v>
      </c>
    </row>
    <row r="257" spans="1:15" x14ac:dyDescent="0.25">
      <c r="A257" t="s">
        <v>72</v>
      </c>
      <c r="B257" s="85">
        <v>46278</v>
      </c>
      <c r="C257">
        <v>9</v>
      </c>
      <c r="D257" s="5"/>
      <c r="E257" s="5">
        <f t="shared" si="7"/>
        <v>0</v>
      </c>
      <c r="F257" s="5"/>
      <c r="G257" s="5"/>
      <c r="H257" s="5"/>
      <c r="I257" s="5"/>
      <c r="J257" s="88"/>
      <c r="K257" s="88"/>
      <c r="L257" s="88"/>
      <c r="M257" s="88"/>
      <c r="N257" s="88">
        <v>0</v>
      </c>
      <c r="O257" s="88">
        <v>0</v>
      </c>
    </row>
    <row r="258" spans="1:15" x14ac:dyDescent="0.25">
      <c r="A258" t="s">
        <v>73</v>
      </c>
      <c r="B258" s="85">
        <v>46279</v>
      </c>
      <c r="C258">
        <v>9</v>
      </c>
      <c r="D258" s="5"/>
      <c r="E258" s="5">
        <f t="shared" si="7"/>
        <v>0</v>
      </c>
      <c r="F258" s="5"/>
      <c r="G258" s="5"/>
      <c r="H258" s="5"/>
      <c r="I258" s="5"/>
      <c r="J258" s="88"/>
      <c r="K258" s="88"/>
      <c r="L258" s="88"/>
      <c r="M258" s="88"/>
      <c r="N258" s="88">
        <v>0</v>
      </c>
      <c r="O258" s="88">
        <v>0</v>
      </c>
    </row>
    <row r="259" spans="1:15" x14ac:dyDescent="0.25">
      <c r="A259" t="s">
        <v>74</v>
      </c>
      <c r="B259" s="85">
        <v>46280</v>
      </c>
      <c r="C259">
        <v>9</v>
      </c>
      <c r="D259" s="5"/>
      <c r="E259" s="5">
        <f t="shared" ref="E259:E322" si="8">+D259-D258</f>
        <v>0</v>
      </c>
      <c r="F259" s="5"/>
      <c r="G259" s="5"/>
      <c r="H259" s="5"/>
      <c r="I259" s="5"/>
      <c r="J259" s="88"/>
      <c r="K259" s="88"/>
      <c r="L259" s="88"/>
      <c r="M259" s="88"/>
      <c r="N259" s="88">
        <v>0</v>
      </c>
      <c r="O259" s="88">
        <v>0</v>
      </c>
    </row>
    <row r="260" spans="1:15" x14ac:dyDescent="0.25">
      <c r="A260" t="s">
        <v>68</v>
      </c>
      <c r="B260" s="85">
        <v>46281</v>
      </c>
      <c r="C260">
        <v>9</v>
      </c>
      <c r="D260" s="5"/>
      <c r="E260" s="5">
        <f t="shared" si="8"/>
        <v>0</v>
      </c>
      <c r="F260" s="5"/>
      <c r="G260" s="5"/>
      <c r="H260" s="5"/>
      <c r="I260" s="5"/>
      <c r="J260" s="88"/>
      <c r="K260" s="88"/>
      <c r="L260" s="88"/>
      <c r="M260" s="88"/>
      <c r="N260" s="88">
        <v>0</v>
      </c>
      <c r="O260" s="88">
        <v>0</v>
      </c>
    </row>
    <row r="261" spans="1:15" x14ac:dyDescent="0.25">
      <c r="A261" t="s">
        <v>69</v>
      </c>
      <c r="B261" s="85">
        <v>46282</v>
      </c>
      <c r="C261">
        <v>9</v>
      </c>
      <c r="D261" s="5"/>
      <c r="E261" s="5">
        <f t="shared" si="8"/>
        <v>0</v>
      </c>
      <c r="F261" s="5"/>
      <c r="G261" s="5"/>
      <c r="H261" s="5"/>
      <c r="I261" s="5"/>
      <c r="J261" s="88"/>
      <c r="K261" s="88"/>
      <c r="L261" s="88"/>
      <c r="M261" s="88"/>
      <c r="N261" s="88" t="e">
        <f>+L261/M261</f>
        <v>#DIV/0!</v>
      </c>
      <c r="O261" s="89" t="e">
        <f>L261/(I261-J261-K261)</f>
        <v>#DIV/0!</v>
      </c>
    </row>
    <row r="262" spans="1:15" x14ac:dyDescent="0.25">
      <c r="A262" t="s">
        <v>70</v>
      </c>
      <c r="B262" s="85">
        <v>46283</v>
      </c>
      <c r="C262">
        <v>9</v>
      </c>
      <c r="D262" s="5"/>
      <c r="E262" s="5">
        <f t="shared" si="8"/>
        <v>0</v>
      </c>
      <c r="F262" s="5"/>
      <c r="G262" s="5"/>
      <c r="H262" s="5"/>
      <c r="I262" s="5"/>
      <c r="J262" s="88"/>
      <c r="K262" s="88"/>
      <c r="L262" s="88"/>
      <c r="M262" s="88"/>
      <c r="N262" s="88">
        <v>0</v>
      </c>
      <c r="O262" s="88">
        <v>0</v>
      </c>
    </row>
    <row r="263" spans="1:15" x14ac:dyDescent="0.25">
      <c r="A263" t="s">
        <v>71</v>
      </c>
      <c r="B263" s="85">
        <v>46284</v>
      </c>
      <c r="C263">
        <v>9</v>
      </c>
      <c r="D263" s="5"/>
      <c r="E263" s="5">
        <f t="shared" si="8"/>
        <v>0</v>
      </c>
      <c r="F263" s="5"/>
      <c r="G263" s="5"/>
      <c r="H263" s="5"/>
      <c r="I263" s="5"/>
      <c r="J263" s="88"/>
      <c r="K263" s="88"/>
      <c r="L263" s="88"/>
      <c r="M263" s="88"/>
      <c r="N263" s="88">
        <v>0</v>
      </c>
      <c r="O263" s="88">
        <v>0</v>
      </c>
    </row>
    <row r="264" spans="1:15" x14ac:dyDescent="0.25">
      <c r="A264" t="s">
        <v>72</v>
      </c>
      <c r="B264" s="85">
        <v>46285</v>
      </c>
      <c r="C264">
        <v>9</v>
      </c>
      <c r="D264" s="5"/>
      <c r="E264" s="5">
        <f t="shared" si="8"/>
        <v>0</v>
      </c>
      <c r="F264" s="5"/>
      <c r="G264" s="5"/>
      <c r="H264" s="5"/>
      <c r="I264" s="5"/>
      <c r="J264" s="88"/>
      <c r="K264" s="88"/>
      <c r="L264" s="88"/>
      <c r="M264" s="88"/>
      <c r="N264" s="88">
        <v>0</v>
      </c>
      <c r="O264" s="88">
        <v>0</v>
      </c>
    </row>
    <row r="265" spans="1:15" x14ac:dyDescent="0.25">
      <c r="A265" t="s">
        <v>73</v>
      </c>
      <c r="B265" s="85">
        <v>46286</v>
      </c>
      <c r="C265">
        <v>9</v>
      </c>
      <c r="D265" s="5"/>
      <c r="E265" s="5">
        <f t="shared" si="8"/>
        <v>0</v>
      </c>
      <c r="F265" s="5"/>
      <c r="G265" s="5"/>
      <c r="H265" s="5"/>
      <c r="I265" s="5"/>
      <c r="J265" s="88"/>
      <c r="K265" s="88"/>
      <c r="L265" s="88"/>
      <c r="M265" s="88"/>
      <c r="N265" s="88">
        <v>0</v>
      </c>
      <c r="O265" s="88">
        <v>0</v>
      </c>
    </row>
    <row r="266" spans="1:15" x14ac:dyDescent="0.25">
      <c r="A266" t="s">
        <v>74</v>
      </c>
      <c r="B266" s="85">
        <v>46287</v>
      </c>
      <c r="C266">
        <v>9</v>
      </c>
      <c r="D266" s="5"/>
      <c r="E266" s="5">
        <f t="shared" si="8"/>
        <v>0</v>
      </c>
      <c r="F266" s="5"/>
      <c r="G266" s="5"/>
      <c r="H266" s="5"/>
      <c r="I266" s="5"/>
      <c r="J266" s="88"/>
      <c r="K266" s="88"/>
      <c r="L266" s="88"/>
      <c r="M266" s="88"/>
      <c r="N266" s="88">
        <v>0</v>
      </c>
      <c r="O266" s="88">
        <v>0</v>
      </c>
    </row>
    <row r="267" spans="1:15" x14ac:dyDescent="0.25">
      <c r="A267" t="s">
        <v>68</v>
      </c>
      <c r="B267" s="85">
        <v>46288</v>
      </c>
      <c r="C267">
        <v>9</v>
      </c>
      <c r="D267" s="5"/>
      <c r="E267" s="5">
        <f t="shared" si="8"/>
        <v>0</v>
      </c>
      <c r="F267" s="5"/>
      <c r="G267" s="5"/>
      <c r="H267" s="5"/>
      <c r="I267" s="5"/>
      <c r="J267" s="88"/>
      <c r="K267" s="88"/>
      <c r="L267" s="88"/>
      <c r="M267" s="88"/>
      <c r="N267" s="88">
        <v>0</v>
      </c>
      <c r="O267" s="88">
        <v>0</v>
      </c>
    </row>
    <row r="268" spans="1:15" x14ac:dyDescent="0.25">
      <c r="A268" t="s">
        <v>69</v>
      </c>
      <c r="B268" s="85">
        <v>46289</v>
      </c>
      <c r="C268">
        <v>9</v>
      </c>
      <c r="D268" s="5"/>
      <c r="E268" s="5">
        <f t="shared" si="8"/>
        <v>0</v>
      </c>
      <c r="F268" s="5"/>
      <c r="G268" s="5"/>
      <c r="H268" s="5"/>
      <c r="I268" s="5"/>
      <c r="J268" s="88"/>
      <c r="K268" s="88"/>
      <c r="L268" s="88"/>
      <c r="M268" s="88"/>
      <c r="N268" s="88">
        <v>0</v>
      </c>
      <c r="O268" s="88">
        <v>0</v>
      </c>
    </row>
    <row r="269" spans="1:15" x14ac:dyDescent="0.25">
      <c r="A269" t="s">
        <v>70</v>
      </c>
      <c r="B269" s="85">
        <v>46290</v>
      </c>
      <c r="C269">
        <v>9</v>
      </c>
      <c r="D269" s="5"/>
      <c r="E269" s="5">
        <f t="shared" si="8"/>
        <v>0</v>
      </c>
      <c r="F269" s="5"/>
      <c r="G269" s="5"/>
      <c r="H269" s="5"/>
      <c r="I269" s="5"/>
      <c r="J269" s="88"/>
      <c r="K269" s="88"/>
      <c r="L269" s="88"/>
      <c r="M269" s="88"/>
      <c r="N269" s="88" t="e">
        <f>+L269/M269</f>
        <v>#DIV/0!</v>
      </c>
      <c r="O269" s="89" t="e">
        <f>L269/(I269-J269-K269)</f>
        <v>#DIV/0!</v>
      </c>
    </row>
    <row r="270" spans="1:15" x14ac:dyDescent="0.25">
      <c r="A270" t="s">
        <v>71</v>
      </c>
      <c r="B270" s="85">
        <v>46291</v>
      </c>
      <c r="C270">
        <v>9</v>
      </c>
      <c r="D270" s="5"/>
      <c r="E270" s="5">
        <f t="shared" si="8"/>
        <v>0</v>
      </c>
      <c r="F270" s="5"/>
      <c r="G270" s="5"/>
      <c r="H270" s="5"/>
      <c r="I270" s="5"/>
      <c r="J270" s="88"/>
      <c r="K270" s="88"/>
      <c r="L270" s="88"/>
      <c r="M270" s="88"/>
      <c r="N270" s="88">
        <v>0</v>
      </c>
      <c r="O270" s="88">
        <v>0</v>
      </c>
    </row>
    <row r="271" spans="1:15" x14ac:dyDescent="0.25">
      <c r="A271" t="s">
        <v>72</v>
      </c>
      <c r="B271" s="85">
        <v>46292</v>
      </c>
      <c r="C271">
        <v>9</v>
      </c>
      <c r="D271" s="5"/>
      <c r="E271" s="5">
        <f t="shared" si="8"/>
        <v>0</v>
      </c>
      <c r="F271" s="5"/>
      <c r="G271" s="5"/>
      <c r="H271" s="5"/>
      <c r="I271" s="5"/>
      <c r="J271" s="88"/>
      <c r="K271" s="88"/>
      <c r="L271" s="88"/>
      <c r="M271" s="88"/>
      <c r="N271" s="88">
        <v>0</v>
      </c>
      <c r="O271" s="88">
        <v>0</v>
      </c>
    </row>
    <row r="272" spans="1:15" x14ac:dyDescent="0.25">
      <c r="A272" t="s">
        <v>73</v>
      </c>
      <c r="B272" s="85">
        <v>46293</v>
      </c>
      <c r="C272">
        <v>9</v>
      </c>
      <c r="D272" s="5"/>
      <c r="E272" s="5">
        <f t="shared" si="8"/>
        <v>0</v>
      </c>
      <c r="F272" s="5"/>
      <c r="G272" s="5"/>
      <c r="H272" s="5"/>
      <c r="I272" s="5"/>
      <c r="J272" s="88"/>
      <c r="K272" s="88"/>
      <c r="L272" s="88"/>
      <c r="M272" s="88"/>
      <c r="N272" s="88">
        <v>0</v>
      </c>
      <c r="O272" s="88">
        <v>0</v>
      </c>
    </row>
    <row r="273" spans="1:15" x14ac:dyDescent="0.25">
      <c r="A273" t="s">
        <v>74</v>
      </c>
      <c r="B273" s="85">
        <v>46294</v>
      </c>
      <c r="C273">
        <v>9</v>
      </c>
      <c r="D273" s="5"/>
      <c r="E273" s="5">
        <f t="shared" si="8"/>
        <v>0</v>
      </c>
      <c r="F273" s="5"/>
      <c r="G273" s="5"/>
      <c r="H273" s="5"/>
      <c r="I273" s="5"/>
      <c r="J273" s="88"/>
      <c r="K273" s="88"/>
      <c r="L273" s="88"/>
      <c r="M273" s="88"/>
      <c r="N273" s="88">
        <v>0</v>
      </c>
      <c r="O273" s="88">
        <v>0</v>
      </c>
    </row>
    <row r="274" spans="1:15" x14ac:dyDescent="0.25">
      <c r="A274" t="s">
        <v>68</v>
      </c>
      <c r="B274" s="85">
        <v>46295</v>
      </c>
      <c r="C274">
        <v>9</v>
      </c>
      <c r="D274" s="5"/>
      <c r="E274" s="5">
        <f t="shared" si="8"/>
        <v>0</v>
      </c>
      <c r="F274" s="5"/>
      <c r="G274" s="5"/>
      <c r="H274" s="5"/>
      <c r="I274" s="5"/>
      <c r="J274" s="88"/>
      <c r="K274" s="88"/>
      <c r="L274" s="88"/>
      <c r="M274" s="88"/>
      <c r="N274" s="88" t="e">
        <f>+L274/M274</f>
        <v>#DIV/0!</v>
      </c>
      <c r="O274" s="89" t="e">
        <f>L274/(I274-J274-K274)</f>
        <v>#DIV/0!</v>
      </c>
    </row>
    <row r="275" spans="1:15" x14ac:dyDescent="0.25">
      <c r="A275" t="s">
        <v>69</v>
      </c>
      <c r="B275" s="85">
        <v>46296</v>
      </c>
      <c r="C275">
        <v>10</v>
      </c>
      <c r="D275" s="5"/>
      <c r="E275" s="5">
        <f t="shared" si="8"/>
        <v>0</v>
      </c>
      <c r="F275" s="5"/>
      <c r="G275" s="5"/>
      <c r="H275" s="5"/>
      <c r="I275" s="5"/>
      <c r="J275" s="88"/>
      <c r="K275" s="88"/>
      <c r="L275" s="88"/>
      <c r="M275" s="88"/>
      <c r="N275" s="88">
        <v>0</v>
      </c>
      <c r="O275" s="88">
        <v>0</v>
      </c>
    </row>
    <row r="276" spans="1:15" x14ac:dyDescent="0.25">
      <c r="A276" t="s">
        <v>70</v>
      </c>
      <c r="B276" s="85">
        <v>46297</v>
      </c>
      <c r="C276">
        <v>10</v>
      </c>
      <c r="D276" s="5"/>
      <c r="E276" s="5">
        <f t="shared" si="8"/>
        <v>0</v>
      </c>
      <c r="F276" s="5"/>
      <c r="G276" s="5"/>
      <c r="H276" s="5"/>
      <c r="I276" s="5"/>
      <c r="J276" s="88"/>
      <c r="K276" s="88"/>
      <c r="L276" s="88"/>
      <c r="M276" s="88"/>
      <c r="N276" s="88">
        <v>0</v>
      </c>
      <c r="O276" s="88">
        <v>0</v>
      </c>
    </row>
    <row r="277" spans="1:15" x14ac:dyDescent="0.25">
      <c r="A277" t="s">
        <v>71</v>
      </c>
      <c r="B277" s="85">
        <v>46298</v>
      </c>
      <c r="C277">
        <v>10</v>
      </c>
      <c r="D277" s="5"/>
      <c r="E277" s="5">
        <f t="shared" si="8"/>
        <v>0</v>
      </c>
      <c r="F277" s="5"/>
      <c r="G277" s="5"/>
      <c r="H277" s="5"/>
      <c r="I277" s="5"/>
      <c r="J277" s="88"/>
      <c r="K277" s="88"/>
      <c r="L277" s="88"/>
      <c r="M277" s="88"/>
      <c r="N277" s="88">
        <v>0</v>
      </c>
      <c r="O277" s="88">
        <v>0</v>
      </c>
    </row>
    <row r="278" spans="1:15" x14ac:dyDescent="0.25">
      <c r="A278" t="s">
        <v>72</v>
      </c>
      <c r="B278" s="85">
        <v>46299</v>
      </c>
      <c r="C278">
        <v>10</v>
      </c>
      <c r="D278" s="5"/>
      <c r="E278" s="5">
        <f t="shared" si="8"/>
        <v>0</v>
      </c>
      <c r="F278" s="5"/>
      <c r="G278" s="5"/>
      <c r="H278" s="5"/>
      <c r="I278" s="5"/>
      <c r="J278" s="88"/>
      <c r="K278" s="88"/>
      <c r="L278" s="88"/>
      <c r="M278" s="88"/>
      <c r="N278" s="88">
        <v>0</v>
      </c>
      <c r="O278" s="88">
        <v>0</v>
      </c>
    </row>
    <row r="279" spans="1:15" x14ac:dyDescent="0.25">
      <c r="A279" t="s">
        <v>73</v>
      </c>
      <c r="B279" s="85">
        <v>46300</v>
      </c>
      <c r="C279">
        <v>10</v>
      </c>
      <c r="D279" s="5"/>
      <c r="E279" s="5">
        <f t="shared" si="8"/>
        <v>0</v>
      </c>
      <c r="F279" s="5"/>
      <c r="G279" s="5"/>
      <c r="H279" s="5"/>
      <c r="I279" s="5"/>
      <c r="J279" s="88"/>
      <c r="K279" s="88"/>
      <c r="L279" s="88"/>
      <c r="M279" s="88"/>
      <c r="N279" s="88">
        <v>0</v>
      </c>
      <c r="O279" s="88">
        <v>0</v>
      </c>
    </row>
    <row r="280" spans="1:15" x14ac:dyDescent="0.25">
      <c r="A280" t="s">
        <v>74</v>
      </c>
      <c r="B280" s="85">
        <v>46301</v>
      </c>
      <c r="C280">
        <v>10</v>
      </c>
      <c r="D280" s="5"/>
      <c r="E280" s="5">
        <f t="shared" si="8"/>
        <v>0</v>
      </c>
      <c r="F280" s="5"/>
      <c r="G280" s="5"/>
      <c r="H280" s="5"/>
      <c r="I280" s="5"/>
      <c r="J280" s="88"/>
      <c r="K280" s="88"/>
      <c r="L280" s="88"/>
      <c r="M280" s="88"/>
      <c r="N280" s="88">
        <v>0</v>
      </c>
      <c r="O280" s="88">
        <v>0</v>
      </c>
    </row>
    <row r="281" spans="1:15" x14ac:dyDescent="0.25">
      <c r="A281" t="s">
        <v>68</v>
      </c>
      <c r="B281" s="85">
        <v>46302</v>
      </c>
      <c r="C281">
        <v>10</v>
      </c>
      <c r="D281" s="5"/>
      <c r="E281" s="5">
        <f t="shared" si="8"/>
        <v>0</v>
      </c>
      <c r="F281" s="5"/>
      <c r="G281" s="5"/>
      <c r="H281" s="5"/>
      <c r="I281" s="5"/>
      <c r="J281" s="88"/>
      <c r="K281" s="88"/>
      <c r="L281" s="88"/>
      <c r="M281" s="88"/>
      <c r="N281" s="88">
        <v>0</v>
      </c>
      <c r="O281" s="88">
        <v>0</v>
      </c>
    </row>
    <row r="282" spans="1:15" x14ac:dyDescent="0.25">
      <c r="A282" t="s">
        <v>69</v>
      </c>
      <c r="B282" s="85">
        <v>46303</v>
      </c>
      <c r="C282">
        <v>10</v>
      </c>
      <c r="D282" s="5"/>
      <c r="E282" s="5">
        <f t="shared" si="8"/>
        <v>0</v>
      </c>
      <c r="F282" s="5"/>
      <c r="G282" s="5"/>
      <c r="H282" s="5"/>
      <c r="I282" s="5"/>
      <c r="J282" s="88"/>
      <c r="K282" s="88"/>
      <c r="L282" s="88"/>
      <c r="M282" s="88"/>
      <c r="N282" s="88">
        <v>0</v>
      </c>
      <c r="O282" s="88">
        <v>0</v>
      </c>
    </row>
    <row r="283" spans="1:15" x14ac:dyDescent="0.25">
      <c r="A283" t="s">
        <v>70</v>
      </c>
      <c r="B283" s="85">
        <v>46304</v>
      </c>
      <c r="C283">
        <v>10</v>
      </c>
      <c r="D283" s="5"/>
      <c r="E283" s="5">
        <f t="shared" si="8"/>
        <v>0</v>
      </c>
      <c r="F283" s="5"/>
      <c r="G283" s="5"/>
      <c r="H283" s="5"/>
      <c r="I283" s="5"/>
      <c r="J283" s="88"/>
      <c r="K283" s="88"/>
      <c r="L283" s="88"/>
      <c r="M283" s="88"/>
      <c r="N283" s="88">
        <v>0</v>
      </c>
      <c r="O283" s="88">
        <v>0</v>
      </c>
    </row>
    <row r="284" spans="1:15" x14ac:dyDescent="0.25">
      <c r="A284" t="s">
        <v>71</v>
      </c>
      <c r="B284" s="85">
        <v>46305</v>
      </c>
      <c r="C284">
        <v>10</v>
      </c>
      <c r="D284" s="5"/>
      <c r="E284" s="5">
        <f t="shared" si="8"/>
        <v>0</v>
      </c>
      <c r="F284" s="5"/>
      <c r="G284" s="5"/>
      <c r="H284" s="5"/>
      <c r="I284" s="5"/>
      <c r="J284" s="88"/>
      <c r="K284" s="88"/>
      <c r="L284" s="88"/>
      <c r="M284" s="88"/>
      <c r="N284" s="88">
        <v>0</v>
      </c>
      <c r="O284" s="88">
        <v>0</v>
      </c>
    </row>
    <row r="285" spans="1:15" x14ac:dyDescent="0.25">
      <c r="A285" t="s">
        <v>72</v>
      </c>
      <c r="B285" s="85">
        <v>46306</v>
      </c>
      <c r="C285">
        <v>10</v>
      </c>
      <c r="D285" s="5"/>
      <c r="E285" s="5">
        <f t="shared" si="8"/>
        <v>0</v>
      </c>
      <c r="F285" s="5"/>
      <c r="G285" s="5"/>
      <c r="H285" s="5"/>
      <c r="I285" s="5"/>
      <c r="J285" s="88"/>
      <c r="K285" s="88"/>
      <c r="L285" s="88"/>
      <c r="M285" s="88"/>
      <c r="N285" s="88">
        <v>0</v>
      </c>
      <c r="O285" s="88">
        <v>0</v>
      </c>
    </row>
    <row r="286" spans="1:15" x14ac:dyDescent="0.25">
      <c r="A286" t="s">
        <v>73</v>
      </c>
      <c r="B286" s="85">
        <v>46307</v>
      </c>
      <c r="C286">
        <v>10</v>
      </c>
      <c r="D286" s="5"/>
      <c r="E286" s="5">
        <f t="shared" si="8"/>
        <v>0</v>
      </c>
      <c r="F286" s="5"/>
      <c r="G286" s="5"/>
      <c r="H286" s="5"/>
      <c r="I286" s="5"/>
      <c r="J286" s="88"/>
      <c r="K286" s="88"/>
      <c r="L286" s="88"/>
      <c r="M286" s="88"/>
      <c r="N286" s="88">
        <v>0</v>
      </c>
      <c r="O286" s="88">
        <v>0</v>
      </c>
    </row>
    <row r="287" spans="1:15" x14ac:dyDescent="0.25">
      <c r="A287" t="s">
        <v>74</v>
      </c>
      <c r="B287" s="85">
        <v>46308</v>
      </c>
      <c r="C287">
        <v>10</v>
      </c>
      <c r="D287" s="5"/>
      <c r="E287" s="5">
        <f t="shared" si="8"/>
        <v>0</v>
      </c>
      <c r="F287" s="5"/>
      <c r="G287" s="5"/>
      <c r="H287" s="5"/>
      <c r="I287" s="5"/>
      <c r="J287" s="88"/>
      <c r="K287" s="88"/>
      <c r="L287" s="88"/>
      <c r="M287" s="88"/>
      <c r="N287" s="88">
        <v>0</v>
      </c>
      <c r="O287" s="88">
        <v>0</v>
      </c>
    </row>
    <row r="288" spans="1:15" x14ac:dyDescent="0.25">
      <c r="A288" t="s">
        <v>68</v>
      </c>
      <c r="B288" s="85">
        <v>46309</v>
      </c>
      <c r="C288">
        <v>10</v>
      </c>
      <c r="D288" s="5"/>
      <c r="E288" s="5">
        <f t="shared" si="8"/>
        <v>0</v>
      </c>
      <c r="F288" s="5"/>
      <c r="G288" s="5"/>
      <c r="H288" s="5"/>
      <c r="I288" s="5"/>
      <c r="J288" s="88"/>
      <c r="K288" s="88"/>
      <c r="L288" s="88"/>
      <c r="M288" s="88"/>
      <c r="N288" s="88">
        <v>0</v>
      </c>
      <c r="O288" s="88">
        <v>0</v>
      </c>
    </row>
    <row r="289" spans="1:15" x14ac:dyDescent="0.25">
      <c r="A289" t="s">
        <v>69</v>
      </c>
      <c r="B289" s="85">
        <v>46310</v>
      </c>
      <c r="C289">
        <v>10</v>
      </c>
      <c r="D289" s="5"/>
      <c r="E289" s="5">
        <f t="shared" si="8"/>
        <v>0</v>
      </c>
      <c r="F289" s="5"/>
      <c r="G289" s="5"/>
      <c r="H289" s="5"/>
      <c r="I289" s="5"/>
      <c r="J289" s="5"/>
      <c r="K289" s="5"/>
      <c r="L289" s="5"/>
      <c r="M289" s="5"/>
      <c r="N289" s="88" t="e">
        <f>+L289/M289</f>
        <v>#DIV/0!</v>
      </c>
      <c r="O289" s="89" t="e">
        <f>L289/(I289-J289-K289)</f>
        <v>#DIV/0!</v>
      </c>
    </row>
    <row r="290" spans="1:15" x14ac:dyDescent="0.25">
      <c r="A290" t="s">
        <v>70</v>
      </c>
      <c r="B290" s="85">
        <v>46311</v>
      </c>
      <c r="C290">
        <v>10</v>
      </c>
      <c r="D290" s="5"/>
      <c r="E290" s="5">
        <f t="shared" si="8"/>
        <v>0</v>
      </c>
      <c r="F290" s="5"/>
      <c r="G290" s="5"/>
      <c r="H290" s="5"/>
      <c r="I290" s="5"/>
      <c r="J290" s="88"/>
      <c r="K290" s="88"/>
      <c r="L290" s="88"/>
      <c r="M290" s="88"/>
      <c r="N290" s="88">
        <v>0</v>
      </c>
      <c r="O290" s="88">
        <v>0</v>
      </c>
    </row>
    <row r="291" spans="1:15" x14ac:dyDescent="0.25">
      <c r="A291" t="s">
        <v>71</v>
      </c>
      <c r="B291" s="85">
        <v>46312</v>
      </c>
      <c r="C291">
        <v>10</v>
      </c>
      <c r="D291" s="5"/>
      <c r="E291" s="5">
        <f t="shared" si="8"/>
        <v>0</v>
      </c>
      <c r="F291" s="5"/>
      <c r="G291" s="5"/>
      <c r="H291" s="5"/>
      <c r="I291" s="5"/>
      <c r="J291" s="88"/>
      <c r="K291" s="88"/>
      <c r="L291" s="88"/>
      <c r="M291" s="88"/>
      <c r="N291" s="88">
        <v>0</v>
      </c>
      <c r="O291" s="88">
        <v>0</v>
      </c>
    </row>
    <row r="292" spans="1:15" x14ac:dyDescent="0.25">
      <c r="A292" t="s">
        <v>72</v>
      </c>
      <c r="B292" s="85">
        <v>46313</v>
      </c>
      <c r="C292">
        <v>10</v>
      </c>
      <c r="D292" s="5"/>
      <c r="E292" s="5">
        <f t="shared" si="8"/>
        <v>0</v>
      </c>
      <c r="F292" s="5"/>
      <c r="G292" s="5"/>
      <c r="H292" s="5"/>
      <c r="I292" s="5"/>
      <c r="J292" s="88"/>
      <c r="K292" s="88"/>
      <c r="L292" s="88"/>
      <c r="M292" s="88"/>
      <c r="N292" s="88">
        <v>0</v>
      </c>
      <c r="O292" s="88">
        <v>0</v>
      </c>
    </row>
    <row r="293" spans="1:15" x14ac:dyDescent="0.25">
      <c r="A293" t="s">
        <v>73</v>
      </c>
      <c r="B293" s="85">
        <v>46314</v>
      </c>
      <c r="C293">
        <v>10</v>
      </c>
      <c r="D293" s="5"/>
      <c r="E293" s="5">
        <f t="shared" si="8"/>
        <v>0</v>
      </c>
      <c r="F293" s="5"/>
      <c r="G293" s="5"/>
      <c r="H293" s="5"/>
      <c r="I293" s="5"/>
      <c r="J293" s="88"/>
      <c r="K293" s="88"/>
      <c r="L293" s="88"/>
      <c r="M293" s="88"/>
      <c r="N293" s="88">
        <v>0</v>
      </c>
      <c r="O293" s="88">
        <v>0</v>
      </c>
    </row>
    <row r="294" spans="1:15" x14ac:dyDescent="0.25">
      <c r="A294" t="s">
        <v>74</v>
      </c>
      <c r="B294" s="85">
        <v>46315</v>
      </c>
      <c r="C294">
        <v>10</v>
      </c>
      <c r="D294" s="5"/>
      <c r="E294" s="5">
        <f t="shared" si="8"/>
        <v>0</v>
      </c>
      <c r="F294" s="5"/>
      <c r="G294" s="5"/>
      <c r="H294" s="5"/>
      <c r="I294" s="5"/>
      <c r="J294" s="88"/>
      <c r="K294" s="88"/>
      <c r="L294" s="88"/>
      <c r="M294" s="88"/>
      <c r="N294" s="88">
        <v>0</v>
      </c>
      <c r="O294" s="88">
        <v>0</v>
      </c>
    </row>
    <row r="295" spans="1:15" x14ac:dyDescent="0.25">
      <c r="A295" t="s">
        <v>68</v>
      </c>
      <c r="B295" s="85">
        <v>46316</v>
      </c>
      <c r="C295">
        <v>10</v>
      </c>
      <c r="D295" s="5"/>
      <c r="E295" s="5">
        <f t="shared" si="8"/>
        <v>0</v>
      </c>
      <c r="F295" s="5"/>
      <c r="G295" s="5"/>
      <c r="H295" s="5"/>
      <c r="I295" s="5"/>
      <c r="J295" s="88"/>
      <c r="K295" s="88"/>
      <c r="L295" s="88"/>
      <c r="M295" s="88"/>
      <c r="N295" s="88">
        <v>0</v>
      </c>
      <c r="O295" s="88">
        <v>0</v>
      </c>
    </row>
    <row r="296" spans="1:15" x14ac:dyDescent="0.25">
      <c r="A296" t="s">
        <v>69</v>
      </c>
      <c r="B296" s="85">
        <v>46317</v>
      </c>
      <c r="C296">
        <v>10</v>
      </c>
      <c r="D296" s="5"/>
      <c r="E296" s="5">
        <f t="shared" si="8"/>
        <v>0</v>
      </c>
      <c r="F296" s="5"/>
      <c r="G296" s="5"/>
      <c r="H296" s="5"/>
      <c r="I296" s="5"/>
      <c r="J296" s="88"/>
      <c r="K296" s="88"/>
      <c r="L296" s="88"/>
      <c r="M296" s="88"/>
      <c r="N296" s="88">
        <v>0</v>
      </c>
      <c r="O296" s="88">
        <v>0</v>
      </c>
    </row>
    <row r="297" spans="1:15" x14ac:dyDescent="0.25">
      <c r="A297" t="s">
        <v>70</v>
      </c>
      <c r="B297" s="85">
        <v>46318</v>
      </c>
      <c r="C297">
        <v>10</v>
      </c>
      <c r="D297" s="5"/>
      <c r="E297" s="5">
        <f t="shared" si="8"/>
        <v>0</v>
      </c>
      <c r="F297" s="5"/>
      <c r="G297" s="5"/>
      <c r="H297" s="5"/>
      <c r="I297" s="5"/>
      <c r="J297" s="88"/>
      <c r="K297" s="88"/>
      <c r="L297" s="88"/>
      <c r="M297" s="88"/>
      <c r="N297" s="88">
        <v>0</v>
      </c>
      <c r="O297" s="88">
        <v>0</v>
      </c>
    </row>
    <row r="298" spans="1:15" x14ac:dyDescent="0.25">
      <c r="A298" t="s">
        <v>71</v>
      </c>
      <c r="B298" s="85">
        <v>46319</v>
      </c>
      <c r="C298">
        <v>10</v>
      </c>
      <c r="D298" s="5"/>
      <c r="E298" s="5">
        <f t="shared" si="8"/>
        <v>0</v>
      </c>
      <c r="F298" s="5"/>
      <c r="G298" s="5"/>
      <c r="H298" s="5"/>
      <c r="I298" s="5"/>
      <c r="J298" s="88"/>
      <c r="K298" s="88"/>
      <c r="L298" s="88"/>
      <c r="M298" s="88"/>
      <c r="N298" s="88">
        <v>0</v>
      </c>
      <c r="O298" s="88">
        <v>0</v>
      </c>
    </row>
    <row r="299" spans="1:15" x14ac:dyDescent="0.25">
      <c r="A299" t="s">
        <v>72</v>
      </c>
      <c r="B299" s="85">
        <v>46320</v>
      </c>
      <c r="C299">
        <v>10</v>
      </c>
      <c r="D299" s="5"/>
      <c r="E299" s="5">
        <f t="shared" si="8"/>
        <v>0</v>
      </c>
      <c r="F299" s="5"/>
      <c r="G299" s="5"/>
      <c r="H299" s="5"/>
      <c r="I299" s="5"/>
      <c r="J299" s="88"/>
      <c r="K299" s="88"/>
      <c r="L299" s="88"/>
      <c r="M299" s="88"/>
      <c r="N299" s="88">
        <v>0</v>
      </c>
      <c r="O299" s="88">
        <v>0</v>
      </c>
    </row>
    <row r="300" spans="1:15" x14ac:dyDescent="0.25">
      <c r="A300" t="s">
        <v>73</v>
      </c>
      <c r="B300" s="85">
        <v>46321</v>
      </c>
      <c r="C300">
        <v>10</v>
      </c>
      <c r="D300" s="5"/>
      <c r="E300" s="5">
        <f t="shared" si="8"/>
        <v>0</v>
      </c>
      <c r="F300" s="5"/>
      <c r="G300" s="5"/>
      <c r="H300" s="5"/>
      <c r="I300" s="5"/>
      <c r="J300" s="88"/>
      <c r="K300" s="88"/>
      <c r="L300" s="88"/>
      <c r="M300" s="88"/>
      <c r="N300" s="88">
        <v>0</v>
      </c>
      <c r="O300" s="88">
        <v>0</v>
      </c>
    </row>
    <row r="301" spans="1:15" x14ac:dyDescent="0.25">
      <c r="A301" t="s">
        <v>74</v>
      </c>
      <c r="B301" s="85">
        <v>46322</v>
      </c>
      <c r="C301">
        <v>10</v>
      </c>
      <c r="D301" s="5"/>
      <c r="E301" s="5">
        <f t="shared" si="8"/>
        <v>0</v>
      </c>
      <c r="F301" s="5"/>
      <c r="G301" s="5"/>
      <c r="H301" s="5"/>
      <c r="I301" s="5"/>
      <c r="J301" s="88"/>
      <c r="K301" s="88"/>
      <c r="L301" s="88"/>
      <c r="M301" s="88"/>
      <c r="N301" s="88">
        <v>0</v>
      </c>
      <c r="O301" s="88">
        <v>0</v>
      </c>
    </row>
    <row r="302" spans="1:15" x14ac:dyDescent="0.25">
      <c r="A302" t="s">
        <v>68</v>
      </c>
      <c r="B302" s="85">
        <v>46323</v>
      </c>
      <c r="C302">
        <v>10</v>
      </c>
      <c r="D302" s="5"/>
      <c r="E302" s="5">
        <f t="shared" si="8"/>
        <v>0</v>
      </c>
      <c r="F302" s="5"/>
      <c r="G302" s="5"/>
      <c r="H302" s="5"/>
      <c r="I302" s="5"/>
      <c r="J302" s="5"/>
      <c r="K302" s="5"/>
      <c r="L302" s="5"/>
      <c r="M302" s="5"/>
      <c r="N302" s="88" t="e">
        <f>+L302/M302</f>
        <v>#DIV/0!</v>
      </c>
      <c r="O302" s="89" t="e">
        <f>L302/(I302-J302-K302)</f>
        <v>#DIV/0!</v>
      </c>
    </row>
    <row r="303" spans="1:15" x14ac:dyDescent="0.25">
      <c r="A303" t="s">
        <v>69</v>
      </c>
      <c r="B303" s="85">
        <v>46324</v>
      </c>
      <c r="C303">
        <v>10</v>
      </c>
      <c r="D303" s="5"/>
      <c r="E303" s="5">
        <f t="shared" si="8"/>
        <v>0</v>
      </c>
      <c r="F303" s="5"/>
      <c r="G303" s="5"/>
      <c r="H303" s="5"/>
      <c r="I303" s="5"/>
      <c r="J303" s="88"/>
      <c r="K303" s="88"/>
      <c r="L303" s="88"/>
      <c r="M303" s="88"/>
      <c r="N303" s="88">
        <v>0</v>
      </c>
      <c r="O303" s="88">
        <v>0</v>
      </c>
    </row>
    <row r="304" spans="1:15" x14ac:dyDescent="0.25">
      <c r="A304" t="s">
        <v>70</v>
      </c>
      <c r="B304" s="85">
        <v>46325</v>
      </c>
      <c r="C304">
        <v>10</v>
      </c>
      <c r="D304" s="5"/>
      <c r="E304" s="5">
        <f t="shared" si="8"/>
        <v>0</v>
      </c>
      <c r="F304" s="5"/>
      <c r="G304" s="5"/>
      <c r="H304" s="5"/>
      <c r="I304" s="5"/>
      <c r="J304" s="88"/>
      <c r="K304" s="88"/>
      <c r="L304" s="88"/>
      <c r="M304" s="88"/>
      <c r="N304" s="88">
        <v>0</v>
      </c>
      <c r="O304" s="88">
        <v>0</v>
      </c>
    </row>
    <row r="305" spans="1:15" x14ac:dyDescent="0.25">
      <c r="A305" t="s">
        <v>71</v>
      </c>
      <c r="B305" s="85">
        <v>46326</v>
      </c>
      <c r="C305">
        <v>10</v>
      </c>
      <c r="D305" s="5"/>
      <c r="E305" s="5">
        <f t="shared" si="8"/>
        <v>0</v>
      </c>
      <c r="F305" s="5"/>
      <c r="G305" s="5"/>
      <c r="H305" s="5"/>
      <c r="I305" s="5"/>
      <c r="J305" s="88"/>
      <c r="K305" s="88"/>
      <c r="L305" s="88"/>
      <c r="M305" s="88"/>
      <c r="N305" s="88">
        <v>0</v>
      </c>
      <c r="O305" s="88">
        <v>0</v>
      </c>
    </row>
    <row r="306" spans="1:15" x14ac:dyDescent="0.25">
      <c r="A306" t="s">
        <v>72</v>
      </c>
      <c r="B306" s="85">
        <v>46327</v>
      </c>
      <c r="C306">
        <v>11</v>
      </c>
      <c r="D306" s="5"/>
      <c r="E306" s="5">
        <f t="shared" si="8"/>
        <v>0</v>
      </c>
      <c r="F306" s="5"/>
      <c r="G306" s="5"/>
      <c r="H306" s="5"/>
    </row>
    <row r="307" spans="1:15" x14ac:dyDescent="0.25">
      <c r="A307" t="s">
        <v>73</v>
      </c>
      <c r="B307" s="85">
        <v>46328</v>
      </c>
      <c r="C307">
        <v>11</v>
      </c>
      <c r="D307" s="5"/>
      <c r="E307" s="5">
        <f t="shared" si="8"/>
        <v>0</v>
      </c>
      <c r="F307" s="5"/>
      <c r="G307" s="5"/>
      <c r="H307" s="5"/>
    </row>
    <row r="308" spans="1:15" x14ac:dyDescent="0.25">
      <c r="A308" t="s">
        <v>74</v>
      </c>
      <c r="B308" s="85">
        <v>46329</v>
      </c>
      <c r="C308">
        <v>11</v>
      </c>
      <c r="D308" s="5"/>
      <c r="E308" s="5">
        <f t="shared" si="8"/>
        <v>0</v>
      </c>
      <c r="F308" s="5"/>
      <c r="G308" s="5"/>
      <c r="H308" s="5"/>
    </row>
    <row r="309" spans="1:15" x14ac:dyDescent="0.25">
      <c r="A309" t="s">
        <v>68</v>
      </c>
      <c r="B309" s="85">
        <v>46330</v>
      </c>
      <c r="C309">
        <v>11</v>
      </c>
      <c r="D309" s="5"/>
      <c r="E309" s="5">
        <f t="shared" si="8"/>
        <v>0</v>
      </c>
      <c r="F309" s="5"/>
      <c r="G309" s="5"/>
      <c r="H309" s="5"/>
    </row>
    <row r="310" spans="1:15" x14ac:dyDescent="0.25">
      <c r="A310" t="s">
        <v>69</v>
      </c>
      <c r="B310" s="85">
        <v>46331</v>
      </c>
      <c r="C310">
        <v>11</v>
      </c>
      <c r="D310" s="5"/>
      <c r="E310" s="5">
        <f t="shared" si="8"/>
        <v>0</v>
      </c>
      <c r="F310" s="5"/>
      <c r="G310" s="5"/>
      <c r="H310" s="5"/>
    </row>
    <row r="311" spans="1:15" x14ac:dyDescent="0.25">
      <c r="A311" t="s">
        <v>70</v>
      </c>
      <c r="B311" s="85">
        <v>46332</v>
      </c>
      <c r="C311">
        <v>11</v>
      </c>
      <c r="D311" s="5"/>
      <c r="E311" s="5">
        <f t="shared" si="8"/>
        <v>0</v>
      </c>
      <c r="F311" s="5"/>
      <c r="G311" s="5"/>
      <c r="H311" s="5"/>
    </row>
    <row r="312" spans="1:15" x14ac:dyDescent="0.25">
      <c r="A312" t="s">
        <v>71</v>
      </c>
      <c r="B312" s="85">
        <v>46333</v>
      </c>
      <c r="C312">
        <v>11</v>
      </c>
      <c r="D312" s="5"/>
      <c r="E312" s="5">
        <f t="shared" si="8"/>
        <v>0</v>
      </c>
      <c r="F312" s="5"/>
      <c r="G312" s="5"/>
      <c r="H312" s="5"/>
    </row>
    <row r="313" spans="1:15" x14ac:dyDescent="0.25">
      <c r="A313" t="s">
        <v>72</v>
      </c>
      <c r="B313" s="85">
        <v>46334</v>
      </c>
      <c r="C313">
        <v>11</v>
      </c>
      <c r="D313" s="5"/>
      <c r="E313" s="5">
        <f t="shared" si="8"/>
        <v>0</v>
      </c>
      <c r="F313" s="5"/>
      <c r="G313" s="5"/>
      <c r="H313" s="5"/>
    </row>
    <row r="314" spans="1:15" x14ac:dyDescent="0.25">
      <c r="A314" t="s">
        <v>73</v>
      </c>
      <c r="B314" s="85">
        <v>46335</v>
      </c>
      <c r="C314">
        <v>11</v>
      </c>
      <c r="D314" s="5"/>
      <c r="E314" s="5">
        <f t="shared" si="8"/>
        <v>0</v>
      </c>
      <c r="F314" s="5"/>
      <c r="G314" s="5"/>
      <c r="H314" s="5"/>
    </row>
    <row r="315" spans="1:15" x14ac:dyDescent="0.25">
      <c r="A315" t="s">
        <v>74</v>
      </c>
      <c r="B315" s="85">
        <v>46336</v>
      </c>
      <c r="C315">
        <v>11</v>
      </c>
      <c r="D315" s="5"/>
      <c r="E315" s="5">
        <f t="shared" si="8"/>
        <v>0</v>
      </c>
      <c r="F315" s="5"/>
      <c r="G315" s="5"/>
      <c r="H315" s="5"/>
    </row>
    <row r="316" spans="1:15" x14ac:dyDescent="0.25">
      <c r="A316" t="s">
        <v>68</v>
      </c>
      <c r="B316" s="85">
        <v>46337</v>
      </c>
      <c r="C316">
        <v>11</v>
      </c>
      <c r="D316" s="5"/>
      <c r="E316" s="5">
        <f t="shared" si="8"/>
        <v>0</v>
      </c>
      <c r="F316" s="5"/>
      <c r="G316" s="5"/>
      <c r="H316" s="5"/>
    </row>
    <row r="317" spans="1:15" x14ac:dyDescent="0.25">
      <c r="A317" t="s">
        <v>69</v>
      </c>
      <c r="B317" s="85">
        <v>46338</v>
      </c>
      <c r="C317">
        <v>11</v>
      </c>
      <c r="D317" s="5"/>
      <c r="E317" s="5">
        <f t="shared" si="8"/>
        <v>0</v>
      </c>
      <c r="F317" s="5"/>
      <c r="G317" s="5"/>
      <c r="H317" s="5"/>
    </row>
    <row r="318" spans="1:15" x14ac:dyDescent="0.25">
      <c r="A318" t="s">
        <v>70</v>
      </c>
      <c r="B318" s="85">
        <v>46339</v>
      </c>
      <c r="C318">
        <v>11</v>
      </c>
      <c r="D318" s="5"/>
      <c r="E318" s="5">
        <f t="shared" si="8"/>
        <v>0</v>
      </c>
      <c r="F318" s="5"/>
      <c r="G318" s="5"/>
      <c r="H318" s="5"/>
    </row>
    <row r="319" spans="1:15" x14ac:dyDescent="0.25">
      <c r="A319" t="s">
        <v>71</v>
      </c>
      <c r="B319" s="85">
        <v>46340</v>
      </c>
      <c r="C319">
        <v>11</v>
      </c>
      <c r="D319" s="5"/>
      <c r="E319" s="5">
        <f t="shared" si="8"/>
        <v>0</v>
      </c>
      <c r="F319" s="5"/>
      <c r="G319" s="5"/>
      <c r="H319" s="5"/>
    </row>
    <row r="320" spans="1:15" x14ac:dyDescent="0.25">
      <c r="A320" t="s">
        <v>72</v>
      </c>
      <c r="B320" s="85">
        <v>46341</v>
      </c>
      <c r="C320">
        <v>11</v>
      </c>
      <c r="D320" s="5"/>
      <c r="E320" s="5">
        <f t="shared" si="8"/>
        <v>0</v>
      </c>
      <c r="F320" s="5"/>
      <c r="G320" s="5"/>
      <c r="H320" s="5"/>
    </row>
    <row r="321" spans="1:15" x14ac:dyDescent="0.25">
      <c r="A321" t="s">
        <v>73</v>
      </c>
      <c r="B321" s="85">
        <v>46342</v>
      </c>
      <c r="C321">
        <v>11</v>
      </c>
      <c r="D321" s="5"/>
      <c r="E321" s="5">
        <f t="shared" si="8"/>
        <v>0</v>
      </c>
      <c r="F321" s="5"/>
      <c r="G321" s="5"/>
      <c r="H321" s="5"/>
    </row>
    <row r="322" spans="1:15" x14ac:dyDescent="0.25">
      <c r="A322" t="s">
        <v>74</v>
      </c>
      <c r="B322" s="85">
        <v>46343</v>
      </c>
      <c r="C322">
        <v>11</v>
      </c>
      <c r="D322" s="5"/>
      <c r="E322" s="5">
        <f t="shared" si="8"/>
        <v>0</v>
      </c>
      <c r="F322" s="5"/>
      <c r="G322" s="5"/>
      <c r="H322" s="5"/>
    </row>
    <row r="323" spans="1:15" x14ac:dyDescent="0.25">
      <c r="A323" t="s">
        <v>68</v>
      </c>
      <c r="B323" s="85">
        <v>46344</v>
      </c>
      <c r="C323">
        <v>11</v>
      </c>
      <c r="D323" s="5"/>
      <c r="E323" s="5">
        <f t="shared" ref="E323:E366" si="9">+D323-D322</f>
        <v>0</v>
      </c>
      <c r="F323" s="5"/>
      <c r="G323" s="5"/>
      <c r="H323" s="5"/>
    </row>
    <row r="324" spans="1:15" x14ac:dyDescent="0.25">
      <c r="A324" t="s">
        <v>69</v>
      </c>
      <c r="B324" s="85">
        <v>46345</v>
      </c>
      <c r="C324">
        <v>11</v>
      </c>
      <c r="D324" s="5"/>
      <c r="E324" s="5">
        <f t="shared" si="9"/>
        <v>0</v>
      </c>
      <c r="F324" s="5"/>
      <c r="G324" s="5"/>
      <c r="H324" s="5"/>
    </row>
    <row r="325" spans="1:15" x14ac:dyDescent="0.25">
      <c r="A325" t="s">
        <v>70</v>
      </c>
      <c r="B325" s="85">
        <v>46346</v>
      </c>
      <c r="C325">
        <v>11</v>
      </c>
      <c r="D325" s="5"/>
      <c r="E325" s="5">
        <f t="shared" si="9"/>
        <v>0</v>
      </c>
      <c r="F325" s="5"/>
      <c r="G325" s="5"/>
      <c r="H325" s="5"/>
    </row>
    <row r="326" spans="1:15" x14ac:dyDescent="0.25">
      <c r="A326" t="s">
        <v>71</v>
      </c>
      <c r="B326" s="85">
        <v>46347</v>
      </c>
      <c r="C326">
        <v>11</v>
      </c>
      <c r="D326" s="5"/>
      <c r="E326" s="5">
        <f t="shared" si="9"/>
        <v>0</v>
      </c>
      <c r="F326" s="5"/>
      <c r="G326" s="5"/>
      <c r="H326" s="5"/>
    </row>
    <row r="327" spans="1:15" x14ac:dyDescent="0.25">
      <c r="A327" t="s">
        <v>72</v>
      </c>
      <c r="B327" s="85">
        <v>46348</v>
      </c>
      <c r="C327">
        <v>11</v>
      </c>
      <c r="D327" s="5"/>
      <c r="E327" s="5">
        <f t="shared" si="9"/>
        <v>0</v>
      </c>
      <c r="F327" s="5"/>
      <c r="G327" s="5"/>
      <c r="H327" s="5"/>
    </row>
    <row r="328" spans="1:15" x14ac:dyDescent="0.25">
      <c r="A328" t="s">
        <v>73</v>
      </c>
      <c r="B328" s="85">
        <v>46349</v>
      </c>
      <c r="C328">
        <v>11</v>
      </c>
      <c r="D328" s="5"/>
      <c r="E328" s="5">
        <f t="shared" si="9"/>
        <v>0</v>
      </c>
      <c r="F328" s="5"/>
      <c r="G328" s="5"/>
      <c r="H328" s="5"/>
    </row>
    <row r="329" spans="1:15" x14ac:dyDescent="0.25">
      <c r="A329" t="s">
        <v>74</v>
      </c>
      <c r="B329" s="85">
        <v>46350</v>
      </c>
      <c r="C329">
        <v>11</v>
      </c>
      <c r="D329" s="5"/>
      <c r="E329" s="5">
        <f t="shared" si="9"/>
        <v>0</v>
      </c>
      <c r="F329" s="5"/>
      <c r="G329" s="5"/>
      <c r="H329" s="5"/>
    </row>
    <row r="330" spans="1:15" x14ac:dyDescent="0.25">
      <c r="A330" t="s">
        <v>68</v>
      </c>
      <c r="B330" s="85">
        <v>46351</v>
      </c>
      <c r="C330">
        <v>11</v>
      </c>
      <c r="D330" s="5"/>
      <c r="E330" s="5">
        <f t="shared" si="9"/>
        <v>0</v>
      </c>
      <c r="F330" s="5"/>
      <c r="G330" s="5"/>
      <c r="H330" s="5"/>
    </row>
    <row r="331" spans="1:15" x14ac:dyDescent="0.25">
      <c r="A331" t="s">
        <v>69</v>
      </c>
      <c r="B331" s="85">
        <v>46352</v>
      </c>
      <c r="C331">
        <v>11</v>
      </c>
      <c r="D331" s="5"/>
      <c r="E331" s="5">
        <f t="shared" si="9"/>
        <v>0</v>
      </c>
      <c r="F331" s="5"/>
      <c r="G331" s="5"/>
      <c r="H331" s="5"/>
    </row>
    <row r="332" spans="1:15" x14ac:dyDescent="0.25">
      <c r="A332" t="s">
        <v>70</v>
      </c>
      <c r="B332" s="85">
        <v>46353</v>
      </c>
      <c r="C332">
        <v>11</v>
      </c>
      <c r="D332" s="5"/>
      <c r="E332" s="5">
        <f t="shared" si="9"/>
        <v>0</v>
      </c>
      <c r="F332" s="5"/>
      <c r="G332" s="5"/>
      <c r="H332" s="5"/>
    </row>
    <row r="333" spans="1:15" x14ac:dyDescent="0.25">
      <c r="A333" t="s">
        <v>71</v>
      </c>
      <c r="B333" s="85">
        <v>46354</v>
      </c>
      <c r="C333">
        <v>11</v>
      </c>
      <c r="D333" s="5"/>
      <c r="E333" s="5">
        <f t="shared" si="9"/>
        <v>0</v>
      </c>
      <c r="F333" s="5"/>
      <c r="G333" s="5"/>
      <c r="H333" s="5"/>
    </row>
    <row r="334" spans="1:15" x14ac:dyDescent="0.25">
      <c r="A334" t="s">
        <v>72</v>
      </c>
      <c r="B334" s="85">
        <v>46355</v>
      </c>
      <c r="C334">
        <v>11</v>
      </c>
      <c r="D334" s="5"/>
      <c r="E334" s="5">
        <f t="shared" si="9"/>
        <v>0</v>
      </c>
      <c r="F334" s="5"/>
      <c r="G334" s="5"/>
      <c r="H334" s="5"/>
    </row>
    <row r="335" spans="1:15" x14ac:dyDescent="0.25">
      <c r="A335" t="s">
        <v>73</v>
      </c>
      <c r="B335" s="85">
        <v>46356</v>
      </c>
      <c r="C335">
        <v>11</v>
      </c>
      <c r="D335" s="5"/>
      <c r="E335" s="5">
        <f t="shared" si="9"/>
        <v>0</v>
      </c>
      <c r="F335" s="5"/>
      <c r="G335" s="5"/>
      <c r="H335" s="5"/>
    </row>
    <row r="336" spans="1:15" x14ac:dyDescent="0.25">
      <c r="A336" t="s">
        <v>74</v>
      </c>
      <c r="B336" s="85">
        <v>46357</v>
      </c>
      <c r="C336">
        <v>12</v>
      </c>
      <c r="D336" s="5"/>
      <c r="E336" s="5">
        <f t="shared" si="9"/>
        <v>0</v>
      </c>
      <c r="F336" s="5"/>
      <c r="G336" s="5"/>
      <c r="I336" s="5"/>
      <c r="J336" s="88"/>
      <c r="K336" s="88"/>
      <c r="L336" s="88"/>
      <c r="M336" s="88"/>
      <c r="N336" s="88">
        <v>0</v>
      </c>
      <c r="O336" s="88">
        <v>0</v>
      </c>
    </row>
    <row r="337" spans="1:15" x14ac:dyDescent="0.25">
      <c r="A337" t="s">
        <v>68</v>
      </c>
      <c r="B337" s="85">
        <v>46358</v>
      </c>
      <c r="C337">
        <v>12</v>
      </c>
      <c r="D337" s="5"/>
      <c r="E337" s="5">
        <f t="shared" si="9"/>
        <v>0</v>
      </c>
      <c r="F337" s="5"/>
      <c r="G337" s="5"/>
      <c r="I337" s="5"/>
      <c r="J337" s="5"/>
      <c r="K337" s="5"/>
      <c r="L337" s="5"/>
      <c r="M337" s="5"/>
      <c r="N337" s="88" t="e">
        <f>+L337/M337</f>
        <v>#DIV/0!</v>
      </c>
      <c r="O337" s="89" t="e">
        <f>L337/(I337-J337-K337)</f>
        <v>#DIV/0!</v>
      </c>
    </row>
    <row r="338" spans="1:15" x14ac:dyDescent="0.25">
      <c r="A338" t="s">
        <v>69</v>
      </c>
      <c r="B338" s="85">
        <v>46359</v>
      </c>
      <c r="C338">
        <v>12</v>
      </c>
      <c r="D338" s="5"/>
      <c r="E338" s="5">
        <f t="shared" si="9"/>
        <v>0</v>
      </c>
      <c r="F338" s="5"/>
      <c r="G338" s="5"/>
      <c r="I338" s="5"/>
      <c r="J338" s="88"/>
      <c r="K338" s="88"/>
      <c r="L338" s="88"/>
      <c r="M338" s="88"/>
      <c r="N338" s="88">
        <v>0</v>
      </c>
      <c r="O338" s="88">
        <v>0</v>
      </c>
    </row>
    <row r="339" spans="1:15" x14ac:dyDescent="0.25">
      <c r="A339" t="s">
        <v>70</v>
      </c>
      <c r="B339" s="85">
        <v>46360</v>
      </c>
      <c r="C339">
        <v>12</v>
      </c>
      <c r="D339" s="5"/>
      <c r="E339" s="5">
        <f t="shared" si="9"/>
        <v>0</v>
      </c>
      <c r="F339" s="5"/>
      <c r="G339" s="5"/>
      <c r="I339" s="5"/>
      <c r="J339" s="88"/>
      <c r="K339" s="88"/>
      <c r="L339" s="88"/>
      <c r="M339" s="88"/>
      <c r="N339" s="88">
        <v>0</v>
      </c>
      <c r="O339" s="88">
        <v>0</v>
      </c>
    </row>
    <row r="340" spans="1:15" x14ac:dyDescent="0.25">
      <c r="A340" t="s">
        <v>71</v>
      </c>
      <c r="B340" s="85">
        <v>46361</v>
      </c>
      <c r="C340">
        <v>12</v>
      </c>
      <c r="D340" s="5"/>
      <c r="E340" s="5">
        <f t="shared" si="9"/>
        <v>0</v>
      </c>
      <c r="F340" s="5"/>
      <c r="G340" s="5"/>
      <c r="I340" s="5"/>
      <c r="J340" s="88"/>
      <c r="K340" s="88"/>
      <c r="L340" s="88"/>
      <c r="M340" s="88"/>
      <c r="N340" s="88">
        <v>0</v>
      </c>
      <c r="O340" s="88">
        <v>0</v>
      </c>
    </row>
    <row r="341" spans="1:15" x14ac:dyDescent="0.25">
      <c r="A341" t="s">
        <v>72</v>
      </c>
      <c r="B341" s="85">
        <v>46362</v>
      </c>
      <c r="C341">
        <v>12</v>
      </c>
      <c r="D341" s="5"/>
      <c r="E341" s="5">
        <f t="shared" si="9"/>
        <v>0</v>
      </c>
      <c r="F341" s="5"/>
      <c r="G341" s="5"/>
      <c r="I341" s="5"/>
      <c r="J341" s="88"/>
      <c r="K341" s="88"/>
      <c r="L341" s="88"/>
      <c r="M341" s="88"/>
      <c r="N341" s="88">
        <v>0</v>
      </c>
      <c r="O341" s="88">
        <v>0</v>
      </c>
    </row>
    <row r="342" spans="1:15" x14ac:dyDescent="0.25">
      <c r="A342" t="s">
        <v>73</v>
      </c>
      <c r="B342" s="85">
        <v>46363</v>
      </c>
      <c r="C342">
        <v>12</v>
      </c>
      <c r="D342" s="5"/>
      <c r="E342" s="5">
        <f t="shared" si="9"/>
        <v>0</v>
      </c>
      <c r="F342" s="5"/>
      <c r="G342" s="5"/>
      <c r="I342" s="5"/>
      <c r="J342" s="88"/>
      <c r="K342" s="88"/>
      <c r="L342" s="88"/>
      <c r="M342" s="88"/>
      <c r="N342" s="88">
        <v>0</v>
      </c>
      <c r="O342" s="88">
        <v>0</v>
      </c>
    </row>
    <row r="343" spans="1:15" x14ac:dyDescent="0.25">
      <c r="A343" t="s">
        <v>74</v>
      </c>
      <c r="B343" s="85">
        <v>46364</v>
      </c>
      <c r="C343">
        <v>12</v>
      </c>
      <c r="D343" s="5"/>
      <c r="E343" s="5">
        <f t="shared" si="9"/>
        <v>0</v>
      </c>
      <c r="F343" s="5"/>
      <c r="G343" s="5"/>
      <c r="I343" s="5"/>
      <c r="J343" s="88"/>
      <c r="K343" s="88"/>
      <c r="L343" s="88"/>
      <c r="M343" s="88"/>
      <c r="N343" s="88">
        <v>0</v>
      </c>
      <c r="O343" s="88">
        <v>0</v>
      </c>
    </row>
    <row r="344" spans="1:15" x14ac:dyDescent="0.25">
      <c r="A344" t="s">
        <v>68</v>
      </c>
      <c r="B344" s="85">
        <v>46365</v>
      </c>
      <c r="C344">
        <v>12</v>
      </c>
      <c r="D344" s="5"/>
      <c r="E344" s="5">
        <f t="shared" si="9"/>
        <v>0</v>
      </c>
      <c r="F344" s="5"/>
      <c r="G344" s="5"/>
      <c r="I344" s="5"/>
      <c r="J344" s="88"/>
      <c r="K344" s="88"/>
      <c r="L344" s="88"/>
      <c r="M344" s="88"/>
      <c r="N344" s="88">
        <v>0</v>
      </c>
      <c r="O344" s="88">
        <v>0</v>
      </c>
    </row>
    <row r="345" spans="1:15" x14ac:dyDescent="0.25">
      <c r="A345" t="s">
        <v>69</v>
      </c>
      <c r="B345" s="85">
        <v>46366</v>
      </c>
      <c r="C345">
        <v>12</v>
      </c>
      <c r="D345" s="5"/>
      <c r="E345" s="5">
        <f t="shared" si="9"/>
        <v>0</v>
      </c>
      <c r="F345" s="5"/>
      <c r="G345" s="5"/>
      <c r="I345" s="5"/>
      <c r="J345" s="88"/>
      <c r="K345" s="88"/>
      <c r="L345" s="88"/>
      <c r="M345" s="88"/>
      <c r="N345" s="88">
        <v>0</v>
      </c>
      <c r="O345" s="88">
        <v>0</v>
      </c>
    </row>
    <row r="346" spans="1:15" x14ac:dyDescent="0.25">
      <c r="A346" t="s">
        <v>70</v>
      </c>
      <c r="B346" s="85">
        <v>46367</v>
      </c>
      <c r="C346">
        <v>12</v>
      </c>
      <c r="D346" s="5"/>
      <c r="E346" s="5">
        <f t="shared" si="9"/>
        <v>0</v>
      </c>
      <c r="F346" s="5"/>
      <c r="G346" s="5"/>
      <c r="I346" s="5"/>
      <c r="J346" s="88"/>
      <c r="K346" s="88"/>
      <c r="L346" s="88"/>
      <c r="M346" s="88"/>
      <c r="N346" s="88">
        <v>0</v>
      </c>
      <c r="O346" s="88">
        <v>0</v>
      </c>
    </row>
    <row r="347" spans="1:15" x14ac:dyDescent="0.25">
      <c r="A347" t="s">
        <v>71</v>
      </c>
      <c r="B347" s="85">
        <v>46368</v>
      </c>
      <c r="C347">
        <v>12</v>
      </c>
      <c r="D347" s="5"/>
      <c r="E347" s="5">
        <f t="shared" si="9"/>
        <v>0</v>
      </c>
      <c r="F347" s="5"/>
      <c r="G347" s="5"/>
      <c r="I347" s="5"/>
      <c r="J347" s="88"/>
      <c r="K347" s="88"/>
      <c r="L347" s="88"/>
      <c r="M347" s="88"/>
      <c r="N347" s="88" t="e">
        <f>+L347/M347</f>
        <v>#DIV/0!</v>
      </c>
      <c r="O347" s="89" t="e">
        <f>L347/(I347-J347-K347)</f>
        <v>#DIV/0!</v>
      </c>
    </row>
    <row r="348" spans="1:15" x14ac:dyDescent="0.25">
      <c r="A348" t="s">
        <v>72</v>
      </c>
      <c r="B348" s="85">
        <v>46369</v>
      </c>
      <c r="C348">
        <v>12</v>
      </c>
      <c r="D348" s="5"/>
      <c r="E348" s="5">
        <f t="shared" si="9"/>
        <v>0</v>
      </c>
      <c r="F348" s="5"/>
      <c r="G348" s="5"/>
      <c r="I348" s="5"/>
      <c r="J348" s="88"/>
      <c r="K348" s="88"/>
      <c r="L348" s="88"/>
      <c r="M348" s="88"/>
      <c r="N348" s="88">
        <v>0</v>
      </c>
      <c r="O348" s="88">
        <v>0</v>
      </c>
    </row>
    <row r="349" spans="1:15" x14ac:dyDescent="0.25">
      <c r="A349" t="s">
        <v>73</v>
      </c>
      <c r="B349" s="85">
        <v>46370</v>
      </c>
      <c r="C349">
        <v>12</v>
      </c>
      <c r="D349" s="5"/>
      <c r="E349" s="5">
        <f t="shared" si="9"/>
        <v>0</v>
      </c>
      <c r="F349" s="5"/>
      <c r="G349" s="5"/>
      <c r="I349" s="5"/>
      <c r="J349" s="88"/>
      <c r="K349" s="88"/>
      <c r="L349" s="88"/>
      <c r="M349" s="88"/>
      <c r="N349" s="88">
        <v>0</v>
      </c>
      <c r="O349" s="88">
        <v>0</v>
      </c>
    </row>
    <row r="350" spans="1:15" x14ac:dyDescent="0.25">
      <c r="A350" t="s">
        <v>74</v>
      </c>
      <c r="B350" s="85">
        <v>46371</v>
      </c>
      <c r="C350">
        <v>12</v>
      </c>
      <c r="D350" s="5"/>
      <c r="E350" s="5">
        <f t="shared" si="9"/>
        <v>0</v>
      </c>
      <c r="F350" s="5"/>
      <c r="G350" s="5"/>
      <c r="I350" s="5"/>
      <c r="J350" s="88"/>
      <c r="K350" s="88"/>
      <c r="L350" s="88"/>
      <c r="M350" s="88"/>
      <c r="N350" s="88">
        <v>0</v>
      </c>
      <c r="O350" s="88">
        <v>0</v>
      </c>
    </row>
    <row r="351" spans="1:15" x14ac:dyDescent="0.25">
      <c r="A351" t="s">
        <v>68</v>
      </c>
      <c r="B351" s="85">
        <v>46372</v>
      </c>
      <c r="C351">
        <v>12</v>
      </c>
      <c r="D351" s="5"/>
      <c r="E351" s="5">
        <f t="shared" si="9"/>
        <v>0</v>
      </c>
      <c r="F351" s="5"/>
      <c r="G351" s="5"/>
      <c r="I351" s="5"/>
      <c r="J351" s="88"/>
      <c r="K351" s="88"/>
      <c r="L351" s="88"/>
      <c r="M351" s="88"/>
      <c r="N351" s="88" t="e">
        <f>+L351/M351</f>
        <v>#DIV/0!</v>
      </c>
      <c r="O351" s="89" t="e">
        <f>L351/(I351-J351-K351)</f>
        <v>#DIV/0!</v>
      </c>
    </row>
    <row r="352" spans="1:15" x14ac:dyDescent="0.25">
      <c r="A352" t="s">
        <v>69</v>
      </c>
      <c r="B352" s="85">
        <v>46373</v>
      </c>
      <c r="C352">
        <v>12</v>
      </c>
      <c r="D352" s="5"/>
      <c r="E352" s="5">
        <f t="shared" si="9"/>
        <v>0</v>
      </c>
      <c r="F352" s="5"/>
      <c r="G352" s="5"/>
      <c r="I352" s="5"/>
      <c r="J352" s="88"/>
      <c r="K352" s="88"/>
      <c r="L352" s="88"/>
      <c r="M352" s="88"/>
      <c r="N352" s="88">
        <v>0</v>
      </c>
      <c r="O352" s="88">
        <v>0</v>
      </c>
    </row>
    <row r="353" spans="1:15" x14ac:dyDescent="0.25">
      <c r="A353" t="s">
        <v>70</v>
      </c>
      <c r="B353" s="85">
        <v>46374</v>
      </c>
      <c r="C353">
        <v>12</v>
      </c>
      <c r="D353" s="5"/>
      <c r="E353" s="5">
        <f t="shared" si="9"/>
        <v>0</v>
      </c>
      <c r="F353" s="5"/>
      <c r="G353" s="5"/>
      <c r="I353" s="5"/>
      <c r="J353" s="88"/>
      <c r="K353" s="88"/>
      <c r="L353" s="88"/>
      <c r="M353" s="88"/>
      <c r="N353" s="88">
        <v>0</v>
      </c>
      <c r="O353" s="88">
        <v>0</v>
      </c>
    </row>
    <row r="354" spans="1:15" x14ac:dyDescent="0.25">
      <c r="A354" t="s">
        <v>71</v>
      </c>
      <c r="B354" s="85">
        <v>46375</v>
      </c>
      <c r="C354">
        <v>12</v>
      </c>
      <c r="D354" s="5"/>
      <c r="E354" s="5">
        <f t="shared" si="9"/>
        <v>0</v>
      </c>
      <c r="F354" s="5"/>
      <c r="G354" s="5"/>
      <c r="I354" s="5"/>
      <c r="J354" s="88"/>
      <c r="K354" s="88"/>
      <c r="L354" s="88"/>
      <c r="M354" s="88"/>
      <c r="N354" s="88">
        <v>0</v>
      </c>
      <c r="O354" s="88">
        <v>0</v>
      </c>
    </row>
    <row r="355" spans="1:15" x14ac:dyDescent="0.25">
      <c r="A355" t="s">
        <v>72</v>
      </c>
      <c r="B355" s="85">
        <v>46376</v>
      </c>
      <c r="C355">
        <v>12</v>
      </c>
      <c r="D355" s="5"/>
      <c r="E355" s="5">
        <f t="shared" si="9"/>
        <v>0</v>
      </c>
      <c r="F355" s="5"/>
      <c r="G355" s="5"/>
      <c r="I355" s="5"/>
      <c r="J355" s="88"/>
      <c r="K355" s="88"/>
      <c r="L355" s="88"/>
      <c r="M355" s="88"/>
      <c r="N355" s="88">
        <v>0</v>
      </c>
      <c r="O355" s="88">
        <v>0</v>
      </c>
    </row>
    <row r="356" spans="1:15" x14ac:dyDescent="0.25">
      <c r="A356" t="s">
        <v>73</v>
      </c>
      <c r="B356" s="85">
        <v>46377</v>
      </c>
      <c r="C356">
        <v>12</v>
      </c>
      <c r="D356" s="5"/>
      <c r="E356" s="5">
        <f t="shared" si="9"/>
        <v>0</v>
      </c>
      <c r="F356" s="5"/>
      <c r="G356" s="5"/>
      <c r="I356" s="5"/>
      <c r="J356" s="88"/>
      <c r="K356" s="88"/>
      <c r="L356" s="88"/>
      <c r="M356" s="88"/>
      <c r="N356" s="88">
        <v>0</v>
      </c>
      <c r="O356" s="88">
        <v>0</v>
      </c>
    </row>
    <row r="357" spans="1:15" x14ac:dyDescent="0.25">
      <c r="A357" t="s">
        <v>74</v>
      </c>
      <c r="B357" s="85">
        <v>46378</v>
      </c>
      <c r="C357">
        <v>12</v>
      </c>
      <c r="D357" s="5"/>
      <c r="E357" s="5">
        <f t="shared" si="9"/>
        <v>0</v>
      </c>
      <c r="F357" s="5"/>
      <c r="G357" s="5"/>
      <c r="I357" s="5"/>
      <c r="J357" s="88"/>
      <c r="K357" s="88"/>
      <c r="L357" s="88"/>
      <c r="M357" s="88"/>
      <c r="N357" s="88">
        <v>0</v>
      </c>
      <c r="O357" s="88">
        <v>0</v>
      </c>
    </row>
    <row r="358" spans="1:15" x14ac:dyDescent="0.25">
      <c r="A358" t="s">
        <v>68</v>
      </c>
      <c r="B358" s="85">
        <v>46379</v>
      </c>
      <c r="C358">
        <v>12</v>
      </c>
      <c r="D358" s="5"/>
      <c r="E358" s="5">
        <f t="shared" si="9"/>
        <v>0</v>
      </c>
      <c r="F358" s="5"/>
      <c r="G358" s="5"/>
      <c r="I358" s="5"/>
      <c r="J358" s="88"/>
      <c r="K358" s="88"/>
      <c r="L358" s="88"/>
      <c r="M358" s="88"/>
      <c r="N358" s="88">
        <v>0</v>
      </c>
      <c r="O358" s="88">
        <v>0</v>
      </c>
    </row>
    <row r="359" spans="1:15" x14ac:dyDescent="0.25">
      <c r="A359" t="s">
        <v>69</v>
      </c>
      <c r="B359" s="85">
        <v>46380</v>
      </c>
      <c r="C359">
        <v>12</v>
      </c>
      <c r="D359" s="5"/>
      <c r="E359" s="5">
        <f t="shared" si="9"/>
        <v>0</v>
      </c>
      <c r="F359" s="5"/>
      <c r="G359" s="5"/>
      <c r="I359" s="5"/>
      <c r="J359" s="88"/>
      <c r="K359" s="88"/>
      <c r="L359" s="88"/>
      <c r="M359" s="88"/>
      <c r="N359" s="88">
        <v>0</v>
      </c>
      <c r="O359" s="88">
        <v>0</v>
      </c>
    </row>
    <row r="360" spans="1:15" x14ac:dyDescent="0.25">
      <c r="A360" t="s">
        <v>70</v>
      </c>
      <c r="B360" s="85">
        <v>46381</v>
      </c>
      <c r="C360">
        <v>12</v>
      </c>
      <c r="D360" s="5"/>
      <c r="E360" s="5">
        <f t="shared" si="9"/>
        <v>0</v>
      </c>
      <c r="F360" s="5"/>
      <c r="G360" s="5"/>
      <c r="I360" s="5"/>
      <c r="J360" s="88"/>
      <c r="K360" s="88"/>
      <c r="L360" s="88"/>
      <c r="M360" s="88"/>
      <c r="N360" s="88">
        <v>0</v>
      </c>
      <c r="O360" s="88">
        <v>0</v>
      </c>
    </row>
    <row r="361" spans="1:15" x14ac:dyDescent="0.25">
      <c r="A361" t="s">
        <v>71</v>
      </c>
      <c r="B361" s="85">
        <v>46382</v>
      </c>
      <c r="C361">
        <v>12</v>
      </c>
      <c r="D361" s="5"/>
      <c r="E361" s="5">
        <f t="shared" si="9"/>
        <v>0</v>
      </c>
      <c r="F361" s="5"/>
      <c r="G361" s="5"/>
      <c r="I361" s="5"/>
      <c r="J361" s="88"/>
      <c r="K361" s="88"/>
      <c r="L361" s="88"/>
      <c r="M361" s="88"/>
      <c r="N361" s="88">
        <v>0</v>
      </c>
      <c r="O361" s="88">
        <v>0</v>
      </c>
    </row>
    <row r="362" spans="1:15" x14ac:dyDescent="0.25">
      <c r="A362" t="s">
        <v>72</v>
      </c>
      <c r="B362" s="85">
        <v>46383</v>
      </c>
      <c r="C362">
        <v>12</v>
      </c>
      <c r="D362" s="5"/>
      <c r="E362" s="5">
        <f t="shared" si="9"/>
        <v>0</v>
      </c>
      <c r="F362" s="5"/>
      <c r="G362" s="5"/>
      <c r="I362" s="5"/>
      <c r="J362" s="88"/>
      <c r="K362" s="88"/>
      <c r="L362" s="88"/>
      <c r="M362" s="88"/>
      <c r="N362" s="88">
        <v>0</v>
      </c>
      <c r="O362" s="88">
        <v>0</v>
      </c>
    </row>
    <row r="363" spans="1:15" x14ac:dyDescent="0.25">
      <c r="A363" t="s">
        <v>73</v>
      </c>
      <c r="B363" s="85">
        <v>46384</v>
      </c>
      <c r="C363">
        <v>12</v>
      </c>
      <c r="D363" s="5"/>
      <c r="E363" s="5">
        <f t="shared" si="9"/>
        <v>0</v>
      </c>
      <c r="F363" s="5"/>
      <c r="G363" s="5"/>
      <c r="I363" s="5"/>
      <c r="J363" s="88"/>
      <c r="K363" s="88"/>
      <c r="L363" s="88"/>
      <c r="M363" s="88"/>
      <c r="N363" s="88">
        <v>0</v>
      </c>
      <c r="O363" s="88">
        <v>0</v>
      </c>
    </row>
    <row r="364" spans="1:15" x14ac:dyDescent="0.25">
      <c r="A364" t="s">
        <v>74</v>
      </c>
      <c r="B364" s="85">
        <v>46385</v>
      </c>
      <c r="C364">
        <v>12</v>
      </c>
      <c r="D364" s="5"/>
      <c r="E364" s="5">
        <f t="shared" si="9"/>
        <v>0</v>
      </c>
      <c r="F364" s="5"/>
      <c r="G364" s="5"/>
      <c r="I364" s="5"/>
      <c r="J364" s="88"/>
      <c r="K364" s="88"/>
      <c r="L364" s="88"/>
      <c r="M364" s="88"/>
      <c r="N364" s="88">
        <v>0</v>
      </c>
      <c r="O364" s="88">
        <v>0</v>
      </c>
    </row>
    <row r="365" spans="1:15" x14ac:dyDescent="0.25">
      <c r="A365" t="s">
        <v>68</v>
      </c>
      <c r="B365" s="85">
        <v>46386</v>
      </c>
      <c r="C365">
        <v>12</v>
      </c>
      <c r="D365" s="5"/>
      <c r="E365" s="5">
        <f t="shared" si="9"/>
        <v>0</v>
      </c>
      <c r="F365" s="5"/>
      <c r="G365" s="5"/>
      <c r="I365" s="5"/>
      <c r="J365" s="88"/>
      <c r="K365" s="88"/>
      <c r="L365" s="88"/>
      <c r="M365" s="88"/>
      <c r="N365" s="88">
        <v>0</v>
      </c>
      <c r="O365" s="88">
        <v>0</v>
      </c>
    </row>
    <row r="366" spans="1:15" x14ac:dyDescent="0.25">
      <c r="A366" t="s">
        <v>69</v>
      </c>
      <c r="B366" s="85">
        <v>46387</v>
      </c>
      <c r="C366">
        <v>12</v>
      </c>
      <c r="D366" s="5"/>
      <c r="E366" s="5">
        <f t="shared" si="9"/>
        <v>0</v>
      </c>
      <c r="F366" s="5"/>
      <c r="G366" s="5"/>
      <c r="I366" s="5"/>
      <c r="J366" s="88"/>
      <c r="K366" s="88"/>
      <c r="L366" s="88"/>
      <c r="M366" s="88"/>
      <c r="N366" s="88">
        <v>0</v>
      </c>
      <c r="O366" s="88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10</vt:i4>
      </vt:variant>
    </vt:vector>
  </HeadingPairs>
  <TitlesOfParts>
    <vt:vector size="22" baseType="lpstr">
      <vt:lpstr>Frio cierre 25</vt:lpstr>
      <vt:lpstr>Frio cierre 26</vt:lpstr>
      <vt:lpstr>628-2019</vt:lpstr>
      <vt:lpstr>628-2020</vt:lpstr>
      <vt:lpstr>628-2021</vt:lpstr>
      <vt:lpstr>628-2022</vt:lpstr>
      <vt:lpstr>628-2023</vt:lpstr>
      <vt:lpstr>628-2024</vt:lpstr>
      <vt:lpstr>628-2025</vt:lpstr>
      <vt:lpstr>628-2026</vt:lpstr>
      <vt:lpstr>Diario 2025</vt:lpstr>
      <vt:lpstr>Diario 2026</vt:lpstr>
      <vt:lpstr>'628-2019'!Área_de_impresión</vt:lpstr>
      <vt:lpstr>'628-2020'!Área_de_impresión</vt:lpstr>
      <vt:lpstr>'628-2021'!Área_de_impresión</vt:lpstr>
      <vt:lpstr>'628-2022'!Área_de_impresión</vt:lpstr>
      <vt:lpstr>'628-2023'!Área_de_impresión</vt:lpstr>
      <vt:lpstr>'628-2024'!Área_de_impresión</vt:lpstr>
      <vt:lpstr>'628-2025'!Área_de_impresión</vt:lpstr>
      <vt:lpstr>'628-2026'!Área_de_impresión</vt:lpstr>
      <vt:lpstr>'Frio cierre 25'!Área_de_impresión</vt:lpstr>
      <vt:lpstr>'Frio cierre 26'!Área_de_impresión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Carlos Lopez</cp:lastModifiedBy>
  <cp:lastPrinted>2025-07-07T15:34:07Z</cp:lastPrinted>
  <dcterms:created xsi:type="dcterms:W3CDTF">2020-02-17T14:48:24Z</dcterms:created>
  <dcterms:modified xsi:type="dcterms:W3CDTF">2026-05-21T08:31:53Z</dcterms:modified>
</cp:coreProperties>
</file>